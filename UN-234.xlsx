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d780f62ab1929f/Escritorio/REMUNERACIONES/2026/MARZO/"/>
    </mc:Choice>
  </mc:AlternateContent>
  <xr:revisionPtr revIDLastSave="0" documentId="8_{1EBE4F4E-11AF-4056-953B-BD3947F4E66E}" xr6:coauthVersionLast="47" xr6:coauthVersionMax="47" xr10:uidLastSave="{00000000-0000-0000-0000-000000000000}"/>
  <bookViews>
    <workbookView xWindow="-108" yWindow="-108" windowWidth="23256" windowHeight="12456" xr2:uid="{702AC4D5-4737-4EFC-AE09-1F0E7F78626D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2" i="1" l="1"/>
  <c r="AS32" i="1" s="1"/>
  <c r="AO32" i="1"/>
  <c r="AN32" i="1"/>
  <c r="AP32" i="1" s="1"/>
  <c r="AU32" i="1" s="1"/>
  <c r="AQ31" i="1"/>
  <c r="AS31" i="1" s="1"/>
  <c r="AO31" i="1"/>
  <c r="AN31" i="1"/>
  <c r="AP31" i="1" s="1"/>
  <c r="AU31" i="1" s="1"/>
  <c r="AQ30" i="1"/>
  <c r="AS30" i="1" s="1"/>
  <c r="AO30" i="1"/>
  <c r="AN30" i="1"/>
  <c r="AP30" i="1" s="1"/>
  <c r="AU30" i="1" s="1"/>
  <c r="AQ29" i="1"/>
  <c r="AS29" i="1" s="1"/>
  <c r="AO29" i="1"/>
  <c r="AN29" i="1"/>
  <c r="AP29" i="1" s="1"/>
  <c r="AU29" i="1" s="1"/>
  <c r="AQ28" i="1"/>
  <c r="AS28" i="1" s="1"/>
  <c r="AO28" i="1"/>
  <c r="AN28" i="1"/>
  <c r="AP28" i="1" s="1"/>
  <c r="AU28" i="1" s="1"/>
  <c r="AQ27" i="1"/>
  <c r="AS27" i="1" s="1"/>
  <c r="AO27" i="1"/>
  <c r="AN27" i="1"/>
  <c r="AP27" i="1" s="1"/>
  <c r="AU27" i="1" s="1"/>
  <c r="AQ26" i="1"/>
  <c r="AS26" i="1" s="1"/>
  <c r="AO26" i="1"/>
  <c r="AN26" i="1"/>
  <c r="AP26" i="1" s="1"/>
  <c r="AU26" i="1" s="1"/>
  <c r="AQ25" i="1"/>
  <c r="AS25" i="1" s="1"/>
  <c r="AO25" i="1"/>
  <c r="AN25" i="1"/>
  <c r="AP25" i="1" s="1"/>
  <c r="AU25" i="1" s="1"/>
  <c r="AQ24" i="1"/>
  <c r="AS24" i="1" s="1"/>
  <c r="AO24" i="1"/>
  <c r="AN24" i="1"/>
  <c r="AP24" i="1" s="1"/>
  <c r="AU24" i="1" s="1"/>
  <c r="AQ23" i="1"/>
  <c r="AS23" i="1" s="1"/>
  <c r="AO23" i="1"/>
  <c r="AN23" i="1"/>
  <c r="AP23" i="1" s="1"/>
  <c r="AU23" i="1" s="1"/>
  <c r="AQ22" i="1"/>
  <c r="AS22" i="1" s="1"/>
  <c r="AO22" i="1"/>
  <c r="AN22" i="1"/>
  <c r="AP22" i="1" s="1"/>
  <c r="AU22" i="1" s="1"/>
  <c r="AQ21" i="1"/>
  <c r="AS21" i="1" s="1"/>
  <c r="AO21" i="1"/>
  <c r="AN21" i="1"/>
  <c r="AP21" i="1" s="1"/>
  <c r="AU21" i="1" s="1"/>
  <c r="AQ20" i="1"/>
  <c r="AS20" i="1" s="1"/>
  <c r="AO20" i="1"/>
  <c r="AN20" i="1"/>
  <c r="AP20" i="1" s="1"/>
  <c r="AU20" i="1" s="1"/>
  <c r="AQ19" i="1"/>
  <c r="AS19" i="1" s="1"/>
  <c r="AO19" i="1"/>
  <c r="AN19" i="1"/>
  <c r="AP19" i="1" s="1"/>
  <c r="AU19" i="1" s="1"/>
  <c r="AQ18" i="1"/>
  <c r="AS18" i="1" s="1"/>
  <c r="AO18" i="1"/>
  <c r="AN18" i="1"/>
  <c r="AP18" i="1" s="1"/>
  <c r="AU18" i="1" s="1"/>
  <c r="AQ17" i="1"/>
  <c r="AS17" i="1" s="1"/>
  <c r="AO17" i="1"/>
  <c r="AN17" i="1"/>
  <c r="AP17" i="1" s="1"/>
  <c r="AU17" i="1" s="1"/>
  <c r="AQ16" i="1"/>
  <c r="AS16" i="1" s="1"/>
  <c r="AO16" i="1"/>
  <c r="AN16" i="1"/>
  <c r="AP16" i="1" s="1"/>
  <c r="AU16" i="1" s="1"/>
  <c r="AQ15" i="1"/>
  <c r="AS15" i="1" s="1"/>
  <c r="AO15" i="1"/>
  <c r="AN15" i="1"/>
  <c r="AP15" i="1" s="1"/>
  <c r="AU15" i="1" s="1"/>
  <c r="AQ14" i="1"/>
  <c r="AS14" i="1" s="1"/>
  <c r="AO14" i="1"/>
  <c r="AN14" i="1"/>
  <c r="AP14" i="1" s="1"/>
  <c r="AU14" i="1" s="1"/>
  <c r="AQ13" i="1"/>
  <c r="AS13" i="1" s="1"/>
  <c r="AO13" i="1"/>
  <c r="AN13" i="1"/>
  <c r="AP13" i="1" s="1"/>
  <c r="AU13" i="1" s="1"/>
  <c r="AQ12" i="1"/>
  <c r="AS12" i="1" s="1"/>
  <c r="AO12" i="1"/>
  <c r="AN12" i="1"/>
  <c r="AP12" i="1" s="1"/>
  <c r="AU12" i="1" s="1"/>
  <c r="AQ11" i="1"/>
  <c r="AS11" i="1" s="1"/>
  <c r="AO11" i="1"/>
  <c r="AN11" i="1"/>
  <c r="AP11" i="1" s="1"/>
  <c r="AU11" i="1" s="1"/>
  <c r="AQ10" i="1"/>
  <c r="AO10" i="1"/>
  <c r="AN10" i="1"/>
  <c r="AP10" i="1" s="1"/>
  <c r="AU10" i="1" s="1"/>
  <c r="AQ9" i="1"/>
  <c r="AO9" i="1"/>
  <c r="AN9" i="1"/>
  <c r="AP9" i="1" s="1"/>
  <c r="AU9" i="1" s="1"/>
  <c r="AQ8" i="1"/>
  <c r="AS8" i="1" s="1"/>
  <c r="AO8" i="1"/>
  <c r="AN8" i="1"/>
  <c r="AP8" i="1" s="1"/>
  <c r="AU8" i="1" s="1"/>
  <c r="AQ7" i="1"/>
  <c r="AS7" i="1" s="1"/>
  <c r="AO7" i="1"/>
  <c r="AN7" i="1"/>
  <c r="AP7" i="1" s="1"/>
  <c r="AU7" i="1" s="1"/>
  <c r="AQ6" i="1"/>
  <c r="AS6" i="1" s="1"/>
  <c r="AO6" i="1"/>
  <c r="AN6" i="1"/>
  <c r="AP6" i="1" s="1"/>
  <c r="AU6" i="1" s="1"/>
  <c r="H6" i="1"/>
  <c r="G6" i="1"/>
  <c r="F6" i="1"/>
  <c r="E6" i="1"/>
  <c r="D6" i="1"/>
  <c r="C6" i="1"/>
  <c r="AQ5" i="1"/>
  <c r="AS5" i="1" s="1"/>
  <c r="AO5" i="1"/>
  <c r="AN5" i="1"/>
  <c r="AP5" i="1" s="1"/>
  <c r="AU5" i="1" s="1"/>
  <c r="A2" i="1"/>
  <c r="AR1" i="1"/>
  <c r="H1" i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Tafca</author>
  </authors>
  <commentList>
    <comment ref="Q23" authorId="0" shapeId="0" xr:uid="{A432EE4C-B9AB-45EB-A1B0-2764FD348129}">
      <text>
        <r>
          <rPr>
            <b/>
            <sz val="9"/>
            <color indexed="81"/>
            <rFont val="Tahoma"/>
            <family val="2"/>
          </rPr>
          <t>CUBRE MEDIO DÍA SISTEMA MOTOBOMBAS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20E0B937-CE65-41AA-BDA4-9497462EE15C}">
      <text>
        <r>
          <rPr>
            <b/>
            <sz val="9"/>
            <color indexed="81"/>
            <rFont val="Tahoma"/>
            <family val="2"/>
          </rPr>
          <t xml:space="preserve">ABASTECE PETROLEO GENERADORES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0" shapeId="0" xr:uid="{1A600D3D-5570-4858-B887-CE95B9FE30C2}">
      <text>
        <r>
          <rPr>
            <b/>
            <sz val="9"/>
            <color indexed="81"/>
            <rFont val="Tahoma"/>
            <family val="2"/>
          </rPr>
          <t>VIAJE A SAN CARLOS A DEJAR ESPOSA (SRA. MARIA VALENZUELA) DE DON SALVADOR CISTERNAS // REGRESA 02:30</t>
        </r>
      </text>
    </comment>
    <comment ref="W23" authorId="0" shapeId="0" xr:uid="{9D114463-5AC4-445F-9DD8-BBFD353253BC}">
      <text>
        <r>
          <rPr>
            <b/>
            <sz val="9"/>
            <color indexed="81"/>
            <rFont val="Tahoma"/>
            <family val="2"/>
          </rPr>
          <t xml:space="preserve">ABASTECE PETROLEO GENERADORES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3" authorId="0" shapeId="0" xr:uid="{6277967A-601B-4AF3-8690-7E85A85ABBE1}">
      <text>
        <r>
          <rPr>
            <b/>
            <sz val="9"/>
            <color indexed="81"/>
            <rFont val="Tahoma"/>
            <family val="2"/>
          </rPr>
          <t xml:space="preserve">ABASTECE PETROLEO GENERADORES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3" authorId="0" shapeId="0" xr:uid="{6753E273-0405-4A89-AFC6-18240332F076}">
      <text>
        <r>
          <rPr>
            <b/>
            <sz val="9"/>
            <color indexed="81"/>
            <rFont val="Tahoma"/>
            <family val="2"/>
          </rPr>
          <t xml:space="preserve">ABASTECE PETROLEO GENERADORES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3" authorId="0" shapeId="0" xr:uid="{08BF5CFA-3826-435B-B09E-442501925C63}">
      <text>
        <r>
          <rPr>
            <b/>
            <sz val="9"/>
            <color indexed="81"/>
            <rFont val="Tahoma"/>
            <family val="2"/>
          </rPr>
          <t xml:space="preserve">ABASTECE PETROLEO GENERADORES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<sst xmlns="http://schemas.openxmlformats.org/spreadsheetml/2006/main" count="181" uniqueCount="101">
  <si>
    <t>PLANILLA ASISTENCIA</t>
  </si>
  <si>
    <t>=</t>
  </si>
  <si>
    <t>FEBRERO</t>
  </si>
  <si>
    <t>MARZO</t>
  </si>
  <si>
    <t>Valor Hora Trato = (Sueldo Base x 0,0079545)</t>
  </si>
  <si>
    <t>S</t>
  </si>
  <si>
    <t>D</t>
  </si>
  <si>
    <t>L</t>
  </si>
  <si>
    <t>M</t>
  </si>
  <si>
    <t>J</t>
  </si>
  <si>
    <t>V</t>
  </si>
  <si>
    <t>HORAS    TRATO</t>
  </si>
  <si>
    <t>DESCANSO TRABAJADO</t>
  </si>
  <si>
    <t>Otros</t>
  </si>
  <si>
    <t>TOTAL</t>
  </si>
  <si>
    <t>DESCRIPCION DE</t>
  </si>
  <si>
    <t>Nº</t>
  </si>
  <si>
    <t>Faena</t>
  </si>
  <si>
    <t>COD</t>
  </si>
  <si>
    <t>RUT</t>
  </si>
  <si>
    <t>NOMBRE</t>
  </si>
  <si>
    <t>CARGO</t>
  </si>
  <si>
    <t>GRUPO TRABAJO</t>
  </si>
  <si>
    <t>FECHA INGRESO</t>
  </si>
  <si>
    <t>Cant.</t>
  </si>
  <si>
    <t>Valor c/u.</t>
  </si>
  <si>
    <t>Sub Total</t>
  </si>
  <si>
    <t>Bonos</t>
  </si>
  <si>
    <t>TRATOS</t>
  </si>
  <si>
    <t>LOS BONOS PAGADOS</t>
  </si>
  <si>
    <t>SUELDO BASE</t>
  </si>
  <si>
    <t>8.281.613-5</t>
  </si>
  <si>
    <t>SEVERINO MIRANDA, LUIS ALBERTO</t>
  </si>
  <si>
    <t>CAPATAZ</t>
  </si>
  <si>
    <t>TERRENO</t>
  </si>
  <si>
    <t>DT</t>
  </si>
  <si>
    <t>CUBRE DIAS, YA QUE CONTRATURNO ES FINIQUITADO DÍA 27-02</t>
  </si>
  <si>
    <t>10.611.516-8</t>
  </si>
  <si>
    <t xml:space="preserve">MOREIRA SOTO, JORGE EDUARDO </t>
  </si>
  <si>
    <t>AYUDANTE</t>
  </si>
  <si>
    <t>AGOTAMIENTO</t>
  </si>
  <si>
    <t>12.483.189-K</t>
  </si>
  <si>
    <t>OCARES HERNANDEZ, HECTOR ALEJANDRO</t>
  </si>
  <si>
    <t>CHOFER</t>
  </si>
  <si>
    <t xml:space="preserve">	11.743.623-3</t>
  </si>
  <si>
    <t xml:space="preserve">FARIAS CORNEJO JUAN JOSE </t>
  </si>
  <si>
    <t xml:space="preserve">OPERADOR EXCAVADORA </t>
  </si>
  <si>
    <t>11.526.712-5</t>
  </si>
  <si>
    <t>BARROS MARIN, ALFREDO GUILLERMO</t>
  </si>
  <si>
    <t>10.011.058-k</t>
  </si>
  <si>
    <t>DIAZ BARCA, MANUEL ENRIQUE</t>
  </si>
  <si>
    <t>MAESTRO</t>
  </si>
  <si>
    <t xml:space="preserve">TERRENO </t>
  </si>
  <si>
    <t>16.235.264-4</t>
  </si>
  <si>
    <t>GONZALEZ RAMIREZ, SERGIO OMAR</t>
  </si>
  <si>
    <t>14.427.600-0</t>
  </si>
  <si>
    <t>GUTIERREZ SANCHEZ, OSCAR ENRIQUE</t>
  </si>
  <si>
    <t>13.611.435-2</t>
  </si>
  <si>
    <t xml:space="preserve">LEIVA GAJARDO, JORGE ALEJANDRO </t>
  </si>
  <si>
    <t>9.937.837-9</t>
  </si>
  <si>
    <t>LABRA LORCA, JUAN ENRIQUE</t>
  </si>
  <si>
    <t>15.807.050-2</t>
  </si>
  <si>
    <t>CARREÑO CARREÑO, MATIAS REINALDO</t>
  </si>
  <si>
    <t>OPERADOR/CHOFER</t>
  </si>
  <si>
    <t>14.322.972-6</t>
  </si>
  <si>
    <t>SEVERINO ROJAS, CLAUDIO ALBERTO</t>
  </si>
  <si>
    <t>OBRAS CIVILES (CUADRILLA CLAUDIO SEVERINO)</t>
  </si>
  <si>
    <t>17.940.783-3</t>
  </si>
  <si>
    <t>HIDALGO TORRES, GERMAN ADAN</t>
  </si>
  <si>
    <t>OPERADOR</t>
  </si>
  <si>
    <t>9.199.786-K </t>
  </si>
  <si>
    <t>FUENTEALBA MORENO, JORGE ARTURO     </t>
  </si>
  <si>
    <t>JORNAL</t>
  </si>
  <si>
    <t>17.333.203-3 </t>
  </si>
  <si>
    <t xml:space="preserve">MUNOZ ANTILEM, ALEX ALBERTO                                                        </t>
  </si>
  <si>
    <t>18.890.510-2</t>
  </si>
  <si>
    <t>CORDERO PERALTA, JESUS ANDRES</t>
  </si>
  <si>
    <t>12.914.414-9</t>
  </si>
  <si>
    <t>SAN MARTIN DINAMARCA, RAUL ANTONIO</t>
  </si>
  <si>
    <t>16.521.353-K</t>
  </si>
  <si>
    <t>LAGOS COMPAYANTE, JONATHAN ESTEBAN</t>
  </si>
  <si>
    <t>BODEGUERO</t>
  </si>
  <si>
    <t>ADMINISTRACIÓN</t>
  </si>
  <si>
    <t>9.202.582-9</t>
  </si>
  <si>
    <t>MEDINA PIZARRO, MANUEL ANTONIO</t>
  </si>
  <si>
    <t>OP. ROD.A</t>
  </si>
  <si>
    <t>MOV. TIERRA</t>
  </si>
  <si>
    <t>10.416.265-7</t>
  </si>
  <si>
    <t>ARANCIBIA SAN MARTIN, PABLO ANTONIO</t>
  </si>
  <si>
    <t>11.433.323-9</t>
  </si>
  <si>
    <t xml:space="preserve">ARANDA CARO, FREDDY ALEXI </t>
  </si>
  <si>
    <t>14.327.897-2</t>
  </si>
  <si>
    <t xml:space="preserve">VASQUEZ LOPEZ, MANUEL DEL TRANSITO </t>
  </si>
  <si>
    <t>10.758.330-0</t>
  </si>
  <si>
    <t xml:space="preserve">GAMBOA MUNOZ, GABRIEL </t>
  </si>
  <si>
    <t>12.081.228-9</t>
  </si>
  <si>
    <t>MALDONADO HERRERA, JUAN DAVID</t>
  </si>
  <si>
    <t>15.738.039-7</t>
  </si>
  <si>
    <t>RIQUELME RIQUELME, VICTOR ANTONIO</t>
  </si>
  <si>
    <t>25.208.540-8</t>
  </si>
  <si>
    <t>JOSEPH, ISAAC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</si>
</sst>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yy;@"/>
    <numFmt numFmtId="165" formatCode="_-* #,##0_-;\-* #,##0_-;_-* &quot;-&quot;??_-;_-@_-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0"/>
      <color theme="1"/>
      <name val="Arial"/>
      <family val="2"/>
    </font>
    <font>
      <b/>
      <sz val="1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5" fontId="3" fillId="0" borderId="3" xfId="1" applyNumberFormat="1" applyFont="1" applyBorder="1"/>
    <xf numFmtId="165" fontId="8" fillId="0" borderId="3" xfId="1" applyNumberFormat="1" applyFont="1" applyBorder="1"/>
    <xf numFmtId="0" fontId="7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/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6" fontId="9" fillId="0" borderId="3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2">
    <dxf>
      <font>
        <b/>
        <i val="0"/>
        <color theme="0"/>
      </font>
      <fill>
        <patternFill>
          <bgColor rgb="FFB4000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C3F0C"/>
        </patternFill>
      </fill>
    </dxf>
    <dxf>
      <font>
        <b/>
        <i val="0"/>
      </font>
      <fill>
        <patternFill>
          <bgColor rgb="FFF66054"/>
        </patternFill>
      </fill>
    </dxf>
    <dxf>
      <font>
        <b/>
        <i val="0"/>
      </font>
      <fill>
        <patternFill>
          <bgColor rgb="FFD9EA36"/>
        </patternFill>
      </fill>
    </dxf>
    <dxf>
      <font>
        <b/>
        <i val="0"/>
        <color theme="0"/>
      </font>
      <fill>
        <patternFill>
          <bgColor rgb="FFD8930A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863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rhh\AppData\Local\Microsoft\Windows\INetCache\Content.Outlook\JT5CAE38\03.-%20Asistencia%202025%20Marzo%20UN-234.xlsx" TargetMode="External"/><Relationship Id="rId1" Type="http://schemas.openxmlformats.org/officeDocument/2006/relationships/externalLinkPath" Target="file:///C:\Users\rrhh\AppData\Local\Microsoft\Windows\INetCache\Content.Outlook\JT5CAE38\03.-%20Asistencia%202025%20Marzo%20UN-23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fca\Desktop\UN-234\LABORAL\ASISTENCIA\2025\MAYO\4Asistencia%202025%2004%20UN-234%20(30-05).xlsx" TargetMode="External"/><Relationship Id="rId1" Type="http://schemas.openxmlformats.org/officeDocument/2006/relationships/externalLinkPath" Target="file:///C:\Users\Tafca\Desktop\UN-234\LABORAL\ASISTENCIA\2025\MAYO\4Asistencia%202025%2004%20UN-234%20(30-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ISTENCIA"/>
      <sheetName val="TRATOS"/>
      <sheetName val="FINIQUITOS"/>
      <sheetName val="ORGANIGRAMA"/>
    </sheetNames>
    <sheetDataSet>
      <sheetData sheetId="0">
        <row r="1">
          <cell r="F1" t="str">
            <v>MARZO</v>
          </cell>
          <cell r="H1">
            <v>2026</v>
          </cell>
        </row>
        <row r="28">
          <cell r="C28">
            <v>15884</v>
          </cell>
          <cell r="D28" t="str">
            <v>10.818.762-K</v>
          </cell>
          <cell r="E28" t="str">
            <v xml:space="preserve">FLORES ROBLES MARCO ANTONIO </v>
          </cell>
          <cell r="F28" t="str">
            <v>JORNAL</v>
          </cell>
          <cell r="G28" t="str">
            <v>AGOTAMIENTO</v>
          </cell>
          <cell r="H28">
            <v>45937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ISTENCIA"/>
      <sheetName val="TRATOS"/>
      <sheetName val="FINIQUITOS"/>
      <sheetName val="Organigram"/>
      <sheetName val="Organigrama"/>
    </sheetNames>
    <sheetDataSet>
      <sheetData sheetId="0" refreshError="1">
        <row r="1">
          <cell r="H1">
            <v>2025</v>
          </cell>
        </row>
        <row r="2">
          <cell r="A2" t="str">
            <v>234 AALL RENGO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1FE8-07E9-4391-AFE4-B91DBC7462AA}">
  <dimension ref="A1:AW32"/>
  <sheetViews>
    <sheetView tabSelected="1" topLeftCell="L1" workbookViewId="0">
      <selection activeCell="G10" sqref="G10"/>
    </sheetView>
  </sheetViews>
  <sheetFormatPr baseColWidth="10" defaultColWidth="11" defaultRowHeight="13.8" x14ac:dyDescent="0.3"/>
  <cols>
    <col min="1" max="1" width="3.109375" style="2" customWidth="1"/>
    <col min="2" max="2" width="5.6640625" style="2" bestFit="1" customWidth="1"/>
    <col min="3" max="3" width="7.88671875" style="2" bestFit="1" customWidth="1"/>
    <col min="4" max="4" width="11.44140625" style="2" bestFit="1" customWidth="1"/>
    <col min="5" max="5" width="44" style="2" customWidth="1"/>
    <col min="6" max="6" width="20.44140625" style="2" customWidth="1"/>
    <col min="7" max="7" width="16" style="2" customWidth="1"/>
    <col min="8" max="8" width="14.6640625" style="2" customWidth="1"/>
    <col min="9" max="12" width="3" style="2" bestFit="1" customWidth="1"/>
    <col min="13" max="13" width="4.33203125" style="2" bestFit="1" customWidth="1"/>
    <col min="14" max="14" width="3.109375" style="2" customWidth="1"/>
    <col min="15" max="18" width="3" style="2" bestFit="1" customWidth="1"/>
    <col min="19" max="19" width="3" style="2" customWidth="1"/>
    <col min="20" max="29" width="3" style="2" bestFit="1" customWidth="1"/>
    <col min="30" max="30" width="3" style="2" customWidth="1"/>
    <col min="31" max="36" width="3" style="2" bestFit="1" customWidth="1"/>
    <col min="37" max="37" width="3" style="2" customWidth="1"/>
    <col min="38" max="38" width="3.33203125" style="2" customWidth="1"/>
    <col min="39" max="39" width="3.109375" style="2" customWidth="1"/>
    <col min="40" max="40" width="3.6640625" style="2" customWidth="1"/>
    <col min="41" max="42" width="9.33203125" style="2" customWidth="1"/>
    <col min="43" max="43" width="4.44140625" style="2" customWidth="1"/>
    <col min="44" max="44" width="7.6640625" style="2" customWidth="1"/>
    <col min="45" max="45" width="9.5546875" style="2" bestFit="1" customWidth="1"/>
    <col min="46" max="46" width="8.109375" style="2" bestFit="1" customWidth="1"/>
    <col min="47" max="47" width="13.33203125" style="2" customWidth="1"/>
    <col min="48" max="48" width="35.5546875" style="2" customWidth="1"/>
    <col min="49" max="49" width="18.6640625" style="2" customWidth="1"/>
    <col min="50" max="16384" width="11" style="2"/>
  </cols>
  <sheetData>
    <row r="1" spans="1:49" ht="21" x14ac:dyDescent="0.4">
      <c r="A1" s="1" t="s">
        <v>0</v>
      </c>
      <c r="F1" s="3" t="str">
        <f>[1]ASISTENCIA!F1</f>
        <v>MARZO</v>
      </c>
      <c r="G1" s="3"/>
      <c r="H1" s="3">
        <f>[1]ASISTENCIA!H1</f>
        <v>2026</v>
      </c>
      <c r="AO1" s="2">
        <v>529000</v>
      </c>
      <c r="AP1" s="2">
        <v>7.9544999999999998E-3</v>
      </c>
      <c r="AQ1" s="4" t="s">
        <v>1</v>
      </c>
      <c r="AR1" s="2">
        <f>AO1*AP1</f>
        <v>4207.9304999999995</v>
      </c>
    </row>
    <row r="2" spans="1:49" ht="21" x14ac:dyDescent="0.4">
      <c r="A2" s="1" t="str">
        <f>[2]ASISTENCIA!A2</f>
        <v>234 AALL RENGO</v>
      </c>
      <c r="C2" s="4"/>
      <c r="I2" s="5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3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2" t="s">
        <v>4</v>
      </c>
    </row>
    <row r="3" spans="1:49" ht="18" x14ac:dyDescent="0.35">
      <c r="I3" s="7" t="s">
        <v>5</v>
      </c>
      <c r="J3" s="7" t="s">
        <v>6</v>
      </c>
      <c r="K3" s="7" t="s">
        <v>7</v>
      </c>
      <c r="L3" s="7" t="s">
        <v>8</v>
      </c>
      <c r="M3" s="7" t="s">
        <v>8</v>
      </c>
      <c r="N3" s="7" t="s">
        <v>9</v>
      </c>
      <c r="O3" s="7" t="s">
        <v>10</v>
      </c>
      <c r="P3" s="7" t="s">
        <v>5</v>
      </c>
      <c r="Q3" s="7" t="s">
        <v>6</v>
      </c>
      <c r="R3" s="7" t="s">
        <v>7</v>
      </c>
      <c r="S3" s="7" t="s">
        <v>8</v>
      </c>
      <c r="T3" s="7" t="s">
        <v>3</v>
      </c>
      <c r="U3" s="7" t="s">
        <v>9</v>
      </c>
      <c r="V3" s="7" t="s">
        <v>10</v>
      </c>
      <c r="W3" s="7" t="s">
        <v>5</v>
      </c>
      <c r="X3" s="7" t="s">
        <v>6</v>
      </c>
      <c r="Y3" s="7" t="s">
        <v>7</v>
      </c>
      <c r="Z3" s="7" t="s">
        <v>8</v>
      </c>
      <c r="AA3" s="7" t="s">
        <v>8</v>
      </c>
      <c r="AB3" s="7" t="s">
        <v>9</v>
      </c>
      <c r="AC3" s="7" t="s">
        <v>10</v>
      </c>
      <c r="AD3" s="7" t="s">
        <v>5</v>
      </c>
      <c r="AE3" s="7" t="s">
        <v>6</v>
      </c>
      <c r="AF3" s="7" t="s">
        <v>7</v>
      </c>
      <c r="AG3" s="7" t="s">
        <v>8</v>
      </c>
      <c r="AH3" s="7" t="s">
        <v>8</v>
      </c>
      <c r="AI3" s="8" t="s">
        <v>9</v>
      </c>
      <c r="AJ3" s="7" t="s">
        <v>10</v>
      </c>
      <c r="AK3" s="7"/>
      <c r="AL3" s="7"/>
      <c r="AM3" s="7"/>
      <c r="AN3" s="9" t="s">
        <v>11</v>
      </c>
      <c r="AO3" s="9"/>
      <c r="AP3" s="9"/>
      <c r="AQ3" s="9" t="s">
        <v>12</v>
      </c>
      <c r="AR3" s="9"/>
      <c r="AS3" s="9"/>
      <c r="AT3" s="10" t="s">
        <v>13</v>
      </c>
      <c r="AU3" s="11" t="s">
        <v>14</v>
      </c>
      <c r="AV3" s="10" t="s">
        <v>15</v>
      </c>
    </row>
    <row r="4" spans="1:49" ht="18" x14ac:dyDescent="0.35">
      <c r="A4" s="12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3" t="s">
        <v>23</v>
      </c>
      <c r="I4" s="14">
        <v>21</v>
      </c>
      <c r="J4" s="14">
        <v>22</v>
      </c>
      <c r="K4" s="14">
        <v>23</v>
      </c>
      <c r="L4" s="14">
        <v>24</v>
      </c>
      <c r="M4" s="14">
        <v>25</v>
      </c>
      <c r="N4" s="14">
        <v>26</v>
      </c>
      <c r="O4" s="14">
        <v>27</v>
      </c>
      <c r="P4" s="14">
        <v>28</v>
      </c>
      <c r="Q4" s="14">
        <v>1</v>
      </c>
      <c r="R4" s="14">
        <v>2</v>
      </c>
      <c r="S4" s="14">
        <v>3</v>
      </c>
      <c r="T4" s="14">
        <v>4</v>
      </c>
      <c r="U4" s="14">
        <v>5</v>
      </c>
      <c r="V4" s="14">
        <v>6</v>
      </c>
      <c r="W4" s="14">
        <v>7</v>
      </c>
      <c r="X4" s="14">
        <v>8</v>
      </c>
      <c r="Y4" s="14">
        <v>9</v>
      </c>
      <c r="Z4" s="14">
        <v>10</v>
      </c>
      <c r="AA4" s="14">
        <v>11</v>
      </c>
      <c r="AB4" s="14">
        <v>12</v>
      </c>
      <c r="AC4" s="14">
        <v>13</v>
      </c>
      <c r="AD4" s="14">
        <v>14</v>
      </c>
      <c r="AE4" s="14">
        <v>15</v>
      </c>
      <c r="AF4" s="14">
        <v>16</v>
      </c>
      <c r="AG4" s="14">
        <v>17</v>
      </c>
      <c r="AH4" s="14">
        <v>18</v>
      </c>
      <c r="AI4" s="14">
        <v>19</v>
      </c>
      <c r="AJ4" s="14">
        <v>20</v>
      </c>
      <c r="AK4" s="14"/>
      <c r="AL4" s="14"/>
      <c r="AM4" s="14"/>
      <c r="AN4" s="12" t="s">
        <v>24</v>
      </c>
      <c r="AO4" s="15" t="s">
        <v>25</v>
      </c>
      <c r="AP4" s="12" t="s">
        <v>26</v>
      </c>
      <c r="AQ4" s="12" t="s">
        <v>24</v>
      </c>
      <c r="AR4" s="12" t="s">
        <v>25</v>
      </c>
      <c r="AS4" s="12" t="s">
        <v>26</v>
      </c>
      <c r="AT4" s="16" t="s">
        <v>27</v>
      </c>
      <c r="AU4" s="17" t="s">
        <v>28</v>
      </c>
      <c r="AV4" s="16" t="s">
        <v>29</v>
      </c>
      <c r="AW4" s="2" t="s">
        <v>30</v>
      </c>
    </row>
    <row r="5" spans="1:49" ht="15.6" x14ac:dyDescent="0.3">
      <c r="A5" s="18"/>
      <c r="B5" s="12">
        <v>234</v>
      </c>
      <c r="C5" s="19">
        <v>15842</v>
      </c>
      <c r="D5" s="20" t="s">
        <v>31</v>
      </c>
      <c r="E5" s="21" t="s">
        <v>32</v>
      </c>
      <c r="F5" s="21" t="s">
        <v>33</v>
      </c>
      <c r="G5" s="21" t="s">
        <v>34</v>
      </c>
      <c r="H5" s="22">
        <v>45901</v>
      </c>
      <c r="I5" s="18" t="s">
        <v>35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2">
        <f t="shared" ref="AN5:AN32" si="0">SUMIF(I5:AM5,"&gt;0")</f>
        <v>0</v>
      </c>
      <c r="AO5" s="23">
        <f>539000*0.007777</f>
        <v>4191.8029999999999</v>
      </c>
      <c r="AP5" s="23">
        <f>ROUND(AN5*AO5,0)</f>
        <v>0</v>
      </c>
      <c r="AQ5" s="12">
        <f t="shared" ref="AQ5:AQ32" si="1">COUNTIF(I5:AM5,"DT")</f>
        <v>1</v>
      </c>
      <c r="AR5" s="23">
        <v>50000</v>
      </c>
      <c r="AS5" s="23">
        <f t="shared" ref="AS5:AS32" si="2">AQ5*AR5</f>
        <v>50000</v>
      </c>
      <c r="AT5" s="23"/>
      <c r="AU5" s="24">
        <f t="shared" ref="AU5:AU32" si="3">+AP5+AS5+AT5</f>
        <v>50000</v>
      </c>
      <c r="AV5" s="12"/>
    </row>
    <row r="6" spans="1:49" ht="15.6" x14ac:dyDescent="0.3">
      <c r="A6" s="18"/>
      <c r="B6" s="12">
        <v>234</v>
      </c>
      <c r="C6" s="19">
        <f>+[1]ASISTENCIA!C28</f>
        <v>15884</v>
      </c>
      <c r="D6" s="20" t="str">
        <f>+[1]ASISTENCIA!D28</f>
        <v>10.818.762-K</v>
      </c>
      <c r="E6" s="21" t="str">
        <f>+[1]ASISTENCIA!E28</f>
        <v xml:space="preserve">FLORES ROBLES MARCO ANTONIO </v>
      </c>
      <c r="F6" s="21" t="str">
        <f>+[1]ASISTENCIA!F28</f>
        <v>JORNAL</v>
      </c>
      <c r="G6" s="21" t="str">
        <f>+[1]ASISTENCIA!G28</f>
        <v>AGOTAMIENTO</v>
      </c>
      <c r="H6" s="22">
        <f>+[1]ASISTENCIA!H28</f>
        <v>45937</v>
      </c>
      <c r="I6" s="18"/>
      <c r="J6" s="18"/>
      <c r="K6" s="18"/>
      <c r="L6" s="18"/>
      <c r="M6" s="18"/>
      <c r="N6" s="18"/>
      <c r="O6" s="18"/>
      <c r="P6" s="18"/>
      <c r="Q6" s="18">
        <v>8</v>
      </c>
      <c r="R6" s="18">
        <v>12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2">
        <f t="shared" si="0"/>
        <v>20</v>
      </c>
      <c r="AO6" s="23">
        <f>539000*0.007777</f>
        <v>4191.8029999999999</v>
      </c>
      <c r="AP6" s="23">
        <f t="shared" ref="AP6:AP32" si="4">ROUND(AN6*AO6,0)</f>
        <v>83836</v>
      </c>
      <c r="AQ6" s="12">
        <f t="shared" si="1"/>
        <v>0</v>
      </c>
      <c r="AR6" s="23">
        <v>40000</v>
      </c>
      <c r="AS6" s="23">
        <f t="shared" si="2"/>
        <v>0</v>
      </c>
      <c r="AT6" s="23"/>
      <c r="AU6" s="24">
        <f t="shared" si="3"/>
        <v>83836</v>
      </c>
      <c r="AV6" s="12" t="s">
        <v>36</v>
      </c>
    </row>
    <row r="7" spans="1:49" ht="15.6" x14ac:dyDescent="0.3">
      <c r="A7" s="18"/>
      <c r="B7" s="12">
        <v>234</v>
      </c>
      <c r="C7" s="19">
        <v>15935</v>
      </c>
      <c r="D7" s="20" t="s">
        <v>37</v>
      </c>
      <c r="E7" s="21" t="s">
        <v>38</v>
      </c>
      <c r="F7" s="21" t="s">
        <v>39</v>
      </c>
      <c r="G7" s="21" t="s">
        <v>40</v>
      </c>
      <c r="H7" s="22">
        <v>45964</v>
      </c>
      <c r="I7" s="18"/>
      <c r="J7" s="18"/>
      <c r="K7" s="18"/>
      <c r="L7" s="18"/>
      <c r="M7" s="18"/>
      <c r="N7" s="18"/>
      <c r="O7" s="18">
        <v>12</v>
      </c>
      <c r="P7" s="18">
        <v>12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2">
        <f t="shared" si="0"/>
        <v>24</v>
      </c>
      <c r="AO7" s="23">
        <f t="shared" ref="AO7:AO32" si="5">539000*0.007777</f>
        <v>4191.8029999999999</v>
      </c>
      <c r="AP7" s="23">
        <f t="shared" si="4"/>
        <v>100603</v>
      </c>
      <c r="AQ7" s="12">
        <f t="shared" si="1"/>
        <v>0</v>
      </c>
      <c r="AR7" s="23">
        <v>40000</v>
      </c>
      <c r="AS7" s="23">
        <f t="shared" si="2"/>
        <v>0</v>
      </c>
      <c r="AT7" s="23"/>
      <c r="AU7" s="24">
        <f t="shared" si="3"/>
        <v>100603</v>
      </c>
      <c r="AV7" s="12" t="s">
        <v>36</v>
      </c>
    </row>
    <row r="8" spans="1:49" ht="15.6" x14ac:dyDescent="0.3">
      <c r="A8" s="18"/>
      <c r="B8" s="12">
        <v>234</v>
      </c>
      <c r="C8" s="19">
        <v>15929</v>
      </c>
      <c r="D8" s="20" t="s">
        <v>41</v>
      </c>
      <c r="E8" s="21" t="s">
        <v>42</v>
      </c>
      <c r="F8" s="21" t="s">
        <v>43</v>
      </c>
      <c r="G8" s="21" t="s">
        <v>34</v>
      </c>
      <c r="H8" s="22">
        <v>45962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2">
        <f t="shared" si="0"/>
        <v>0</v>
      </c>
      <c r="AO8" s="23">
        <f t="shared" si="5"/>
        <v>4191.8029999999999</v>
      </c>
      <c r="AP8" s="23">
        <f t="shared" si="4"/>
        <v>0</v>
      </c>
      <c r="AQ8" s="12">
        <f t="shared" si="1"/>
        <v>0</v>
      </c>
      <c r="AR8" s="23">
        <v>40000</v>
      </c>
      <c r="AS8" s="23">
        <f t="shared" si="2"/>
        <v>0</v>
      </c>
      <c r="AT8" s="23"/>
      <c r="AU8" s="24">
        <f t="shared" si="3"/>
        <v>0</v>
      </c>
      <c r="AV8" s="12"/>
    </row>
    <row r="9" spans="1:49" ht="15.6" x14ac:dyDescent="0.3">
      <c r="A9" s="18"/>
      <c r="B9" s="12">
        <v>234</v>
      </c>
      <c r="C9" s="19">
        <v>10918</v>
      </c>
      <c r="D9" s="20" t="s">
        <v>44</v>
      </c>
      <c r="E9" s="21" t="s">
        <v>45</v>
      </c>
      <c r="F9" s="21" t="s">
        <v>46</v>
      </c>
      <c r="G9" s="21" t="s">
        <v>34</v>
      </c>
      <c r="H9" s="22">
        <v>43405</v>
      </c>
      <c r="I9" s="18"/>
      <c r="J9" s="18"/>
      <c r="K9" s="18"/>
      <c r="L9" s="18"/>
      <c r="M9" s="18"/>
      <c r="N9" s="18"/>
      <c r="O9" s="18"/>
      <c r="P9" s="18" t="s">
        <v>35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2">
        <f t="shared" si="0"/>
        <v>0</v>
      </c>
      <c r="AO9" s="23">
        <f t="shared" si="5"/>
        <v>4191.8029999999999</v>
      </c>
      <c r="AP9" s="23">
        <f t="shared" si="4"/>
        <v>0</v>
      </c>
      <c r="AQ9" s="12">
        <f t="shared" si="1"/>
        <v>1</v>
      </c>
      <c r="AR9" s="23">
        <v>40000</v>
      </c>
      <c r="AS9" s="23"/>
      <c r="AT9" s="23"/>
      <c r="AU9" s="24">
        <f t="shared" si="3"/>
        <v>0</v>
      </c>
      <c r="AV9" s="12"/>
    </row>
    <row r="10" spans="1:49" ht="15.6" x14ac:dyDescent="0.3">
      <c r="A10" s="18"/>
      <c r="B10" s="12">
        <v>234</v>
      </c>
      <c r="C10" s="19">
        <v>16041</v>
      </c>
      <c r="D10" s="20" t="s">
        <v>47</v>
      </c>
      <c r="E10" s="21" t="s">
        <v>48</v>
      </c>
      <c r="F10" s="21" t="s">
        <v>39</v>
      </c>
      <c r="G10" s="21" t="s">
        <v>34</v>
      </c>
      <c r="H10" s="22">
        <v>46027</v>
      </c>
      <c r="I10" s="18" t="s">
        <v>35</v>
      </c>
      <c r="J10" s="18"/>
      <c r="K10" s="18"/>
      <c r="L10" s="18"/>
      <c r="M10" s="18"/>
      <c r="N10" s="18"/>
      <c r="O10" s="18"/>
      <c r="P10" s="18" t="s">
        <v>35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2">
        <f t="shared" si="0"/>
        <v>0</v>
      </c>
      <c r="AO10" s="23">
        <f t="shared" si="5"/>
        <v>4191.8029999999999</v>
      </c>
      <c r="AP10" s="23">
        <f t="shared" si="4"/>
        <v>0</v>
      </c>
      <c r="AQ10" s="12">
        <f t="shared" si="1"/>
        <v>2</v>
      </c>
      <c r="AR10" s="23">
        <v>40000</v>
      </c>
      <c r="AS10" s="23"/>
      <c r="AT10" s="23"/>
      <c r="AU10" s="24">
        <f t="shared" si="3"/>
        <v>0</v>
      </c>
      <c r="AV10" s="12"/>
    </row>
    <row r="11" spans="1:49" ht="15.6" x14ac:dyDescent="0.3">
      <c r="A11" s="18"/>
      <c r="B11" s="12">
        <v>234</v>
      </c>
      <c r="C11" s="25">
        <v>16056</v>
      </c>
      <c r="D11" s="26" t="s">
        <v>49</v>
      </c>
      <c r="E11" s="12" t="s">
        <v>50</v>
      </c>
      <c r="F11" s="12" t="s">
        <v>51</v>
      </c>
      <c r="G11" s="12" t="s">
        <v>52</v>
      </c>
      <c r="H11" s="27">
        <v>46035</v>
      </c>
      <c r="I11" s="18"/>
      <c r="J11" s="18"/>
      <c r="K11" s="18"/>
      <c r="L11" s="18"/>
      <c r="M11" s="18"/>
      <c r="N11" s="18"/>
      <c r="O11" s="18"/>
      <c r="P11" s="18" t="s">
        <v>35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2">
        <f t="shared" si="0"/>
        <v>0</v>
      </c>
      <c r="AO11" s="23">
        <f t="shared" si="5"/>
        <v>4191.8029999999999</v>
      </c>
      <c r="AP11" s="23">
        <f t="shared" si="4"/>
        <v>0</v>
      </c>
      <c r="AQ11" s="12">
        <f t="shared" si="1"/>
        <v>1</v>
      </c>
      <c r="AR11" s="23">
        <v>40000</v>
      </c>
      <c r="AS11" s="23">
        <f t="shared" si="2"/>
        <v>40000</v>
      </c>
      <c r="AT11" s="23"/>
      <c r="AU11" s="24">
        <f t="shared" si="3"/>
        <v>40000</v>
      </c>
      <c r="AV11" s="12"/>
    </row>
    <row r="12" spans="1:49" ht="15.6" x14ac:dyDescent="0.3">
      <c r="A12" s="18"/>
      <c r="B12" s="12">
        <v>234</v>
      </c>
      <c r="C12" s="25">
        <v>16063</v>
      </c>
      <c r="D12" s="26" t="s">
        <v>53</v>
      </c>
      <c r="E12" s="12" t="s">
        <v>54</v>
      </c>
      <c r="F12" s="12" t="s">
        <v>39</v>
      </c>
      <c r="G12" s="12" t="s">
        <v>34</v>
      </c>
      <c r="H12" s="27">
        <v>45683</v>
      </c>
      <c r="I12" s="18" t="s">
        <v>35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2">
        <f t="shared" si="0"/>
        <v>0</v>
      </c>
      <c r="AO12" s="23">
        <f t="shared" si="5"/>
        <v>4191.8029999999999</v>
      </c>
      <c r="AP12" s="23">
        <f t="shared" si="4"/>
        <v>0</v>
      </c>
      <c r="AQ12" s="12">
        <f t="shared" si="1"/>
        <v>1</v>
      </c>
      <c r="AR12" s="23">
        <v>40000</v>
      </c>
      <c r="AS12" s="23">
        <f t="shared" si="2"/>
        <v>40000</v>
      </c>
      <c r="AT12" s="23"/>
      <c r="AU12" s="24">
        <f t="shared" si="3"/>
        <v>40000</v>
      </c>
      <c r="AV12" s="12"/>
    </row>
    <row r="13" spans="1:49" ht="15.6" x14ac:dyDescent="0.3">
      <c r="A13" s="18"/>
      <c r="B13" s="12">
        <v>234</v>
      </c>
      <c r="C13" s="19">
        <v>16064</v>
      </c>
      <c r="D13" s="20" t="s">
        <v>55</v>
      </c>
      <c r="E13" s="21" t="s">
        <v>56</v>
      </c>
      <c r="F13" s="12" t="s">
        <v>39</v>
      </c>
      <c r="G13" s="12" t="s">
        <v>34</v>
      </c>
      <c r="H13" s="27">
        <v>45683</v>
      </c>
      <c r="I13" s="18" t="s">
        <v>35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2">
        <f t="shared" si="0"/>
        <v>0</v>
      </c>
      <c r="AO13" s="23">
        <f t="shared" si="5"/>
        <v>4191.8029999999999</v>
      </c>
      <c r="AP13" s="23">
        <f t="shared" si="4"/>
        <v>0</v>
      </c>
      <c r="AQ13" s="12">
        <f t="shared" si="1"/>
        <v>1</v>
      </c>
      <c r="AR13" s="23">
        <v>40000</v>
      </c>
      <c r="AS13" s="23">
        <f t="shared" si="2"/>
        <v>40000</v>
      </c>
      <c r="AT13" s="23"/>
      <c r="AU13" s="24">
        <f t="shared" si="3"/>
        <v>40000</v>
      </c>
      <c r="AV13" s="12"/>
    </row>
    <row r="14" spans="1:49" ht="15.6" x14ac:dyDescent="0.3">
      <c r="A14" s="18"/>
      <c r="B14" s="12">
        <v>234</v>
      </c>
      <c r="C14" s="25">
        <v>15422</v>
      </c>
      <c r="D14" s="26" t="s">
        <v>57</v>
      </c>
      <c r="E14" s="12" t="s">
        <v>58</v>
      </c>
      <c r="F14" s="12" t="s">
        <v>33</v>
      </c>
      <c r="G14" s="12" t="s">
        <v>52</v>
      </c>
      <c r="H14" s="27">
        <v>45664</v>
      </c>
      <c r="I14" s="18"/>
      <c r="J14" s="18"/>
      <c r="K14" s="18"/>
      <c r="L14" s="18"/>
      <c r="M14" s="18"/>
      <c r="N14" s="18"/>
      <c r="O14" s="18"/>
      <c r="P14" s="18" t="s">
        <v>35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2">
        <f t="shared" si="0"/>
        <v>0</v>
      </c>
      <c r="AO14" s="23">
        <f t="shared" si="5"/>
        <v>4191.8029999999999</v>
      </c>
      <c r="AP14" s="23">
        <f t="shared" si="4"/>
        <v>0</v>
      </c>
      <c r="AQ14" s="12">
        <f t="shared" si="1"/>
        <v>1</v>
      </c>
      <c r="AR14" s="23">
        <v>50000</v>
      </c>
      <c r="AS14" s="23">
        <f t="shared" si="2"/>
        <v>50000</v>
      </c>
      <c r="AT14" s="23"/>
      <c r="AU14" s="24">
        <f t="shared" si="3"/>
        <v>50000</v>
      </c>
      <c r="AV14" s="12"/>
    </row>
    <row r="15" spans="1:49" ht="15.6" x14ac:dyDescent="0.3">
      <c r="A15" s="18"/>
      <c r="B15" s="12">
        <v>234</v>
      </c>
      <c r="C15" s="25">
        <v>15866</v>
      </c>
      <c r="D15" s="26" t="s">
        <v>59</v>
      </c>
      <c r="E15" s="12" t="s">
        <v>60</v>
      </c>
      <c r="F15" s="12" t="s">
        <v>39</v>
      </c>
      <c r="G15" s="12" t="s">
        <v>34</v>
      </c>
      <c r="H15" s="27">
        <v>45908</v>
      </c>
      <c r="I15" s="18"/>
      <c r="J15" s="18"/>
      <c r="K15" s="18"/>
      <c r="L15" s="18"/>
      <c r="M15" s="18"/>
      <c r="N15" s="18"/>
      <c r="O15" s="18"/>
      <c r="P15" s="18" t="s">
        <v>35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2">
        <f t="shared" si="0"/>
        <v>0</v>
      </c>
      <c r="AO15" s="23">
        <f t="shared" si="5"/>
        <v>4191.8029999999999</v>
      </c>
      <c r="AP15" s="23">
        <f t="shared" si="4"/>
        <v>0</v>
      </c>
      <c r="AQ15" s="12">
        <f t="shared" si="1"/>
        <v>1</v>
      </c>
      <c r="AR15" s="23">
        <v>40000</v>
      </c>
      <c r="AS15" s="23">
        <f t="shared" si="2"/>
        <v>40000</v>
      </c>
      <c r="AT15" s="23"/>
      <c r="AU15" s="24">
        <f t="shared" si="3"/>
        <v>40000</v>
      </c>
      <c r="AV15" s="12"/>
    </row>
    <row r="16" spans="1:49" ht="15.6" x14ac:dyDescent="0.3">
      <c r="A16" s="18"/>
      <c r="B16" s="12">
        <v>234</v>
      </c>
      <c r="C16" s="19">
        <v>16038</v>
      </c>
      <c r="D16" s="26" t="s">
        <v>61</v>
      </c>
      <c r="E16" s="12" t="s">
        <v>62</v>
      </c>
      <c r="F16" s="12" t="s">
        <v>63</v>
      </c>
      <c r="G16" s="12" t="s">
        <v>34</v>
      </c>
      <c r="H16" s="27">
        <v>45962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2">
        <f t="shared" si="0"/>
        <v>0</v>
      </c>
      <c r="AO16" s="23">
        <f t="shared" si="5"/>
        <v>4191.8029999999999</v>
      </c>
      <c r="AP16" s="23">
        <f t="shared" si="4"/>
        <v>0</v>
      </c>
      <c r="AQ16" s="12">
        <f t="shared" si="1"/>
        <v>0</v>
      </c>
      <c r="AR16" s="23">
        <v>40000</v>
      </c>
      <c r="AS16" s="23">
        <f t="shared" si="2"/>
        <v>0</v>
      </c>
      <c r="AT16" s="23"/>
      <c r="AU16" s="24">
        <f t="shared" si="3"/>
        <v>0</v>
      </c>
      <c r="AV16" s="12"/>
    </row>
    <row r="17" spans="1:48" ht="15.6" x14ac:dyDescent="0.3">
      <c r="A17" s="18"/>
      <c r="B17" s="12">
        <v>234</v>
      </c>
      <c r="C17" s="25">
        <v>15976</v>
      </c>
      <c r="D17" s="26" t="s">
        <v>64</v>
      </c>
      <c r="E17" s="12" t="s">
        <v>65</v>
      </c>
      <c r="F17" s="12" t="s">
        <v>33</v>
      </c>
      <c r="G17" s="28" t="s">
        <v>66</v>
      </c>
      <c r="H17" s="29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2">
        <f t="shared" si="0"/>
        <v>0</v>
      </c>
      <c r="AO17" s="23">
        <f t="shared" si="5"/>
        <v>4191.8029999999999</v>
      </c>
      <c r="AP17" s="23">
        <f t="shared" si="4"/>
        <v>0</v>
      </c>
      <c r="AQ17" s="12">
        <f t="shared" si="1"/>
        <v>0</v>
      </c>
      <c r="AR17" s="23">
        <v>50000</v>
      </c>
      <c r="AS17" s="23">
        <f t="shared" si="2"/>
        <v>0</v>
      </c>
      <c r="AT17" s="23"/>
      <c r="AU17" s="24">
        <f t="shared" si="3"/>
        <v>0</v>
      </c>
      <c r="AV17" s="12"/>
    </row>
    <row r="18" spans="1:48" ht="15.6" x14ac:dyDescent="0.3">
      <c r="A18" s="18"/>
      <c r="B18" s="12">
        <v>234</v>
      </c>
      <c r="C18" s="19">
        <v>16068</v>
      </c>
      <c r="D18" s="26" t="s">
        <v>67</v>
      </c>
      <c r="E18" s="12" t="s">
        <v>68</v>
      </c>
      <c r="F18" s="12" t="s">
        <v>69</v>
      </c>
      <c r="G18" s="12" t="s">
        <v>34</v>
      </c>
      <c r="H18" s="27">
        <v>46054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2">
        <f t="shared" si="0"/>
        <v>0</v>
      </c>
      <c r="AO18" s="23">
        <f t="shared" si="5"/>
        <v>4191.8029999999999</v>
      </c>
      <c r="AP18" s="23">
        <f t="shared" si="4"/>
        <v>0</v>
      </c>
      <c r="AQ18" s="12">
        <f t="shared" si="1"/>
        <v>0</v>
      </c>
      <c r="AR18" s="23">
        <v>40000</v>
      </c>
      <c r="AS18" s="23">
        <f t="shared" si="2"/>
        <v>0</v>
      </c>
      <c r="AT18" s="23"/>
      <c r="AU18" s="24">
        <f t="shared" si="3"/>
        <v>0</v>
      </c>
      <c r="AV18" s="12"/>
    </row>
    <row r="19" spans="1:48" ht="15.6" x14ac:dyDescent="0.3">
      <c r="A19" s="18"/>
      <c r="B19" s="12">
        <v>234</v>
      </c>
      <c r="C19" s="25">
        <v>15823</v>
      </c>
      <c r="D19" s="12" t="s">
        <v>70</v>
      </c>
      <c r="E19" s="12" t="s">
        <v>71</v>
      </c>
      <c r="F19" s="12" t="s">
        <v>72</v>
      </c>
      <c r="G19" s="12" t="s">
        <v>34</v>
      </c>
      <c r="H19" s="27">
        <v>45887</v>
      </c>
      <c r="I19" s="18"/>
      <c r="J19" s="18"/>
      <c r="K19" s="18"/>
      <c r="L19" s="18"/>
      <c r="M19" s="18"/>
      <c r="N19" s="18"/>
      <c r="O19" s="18"/>
      <c r="P19" s="18" t="s">
        <v>35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2">
        <f t="shared" si="0"/>
        <v>0</v>
      </c>
      <c r="AO19" s="23">
        <f t="shared" si="5"/>
        <v>4191.8029999999999</v>
      </c>
      <c r="AP19" s="23">
        <f t="shared" si="4"/>
        <v>0</v>
      </c>
      <c r="AQ19" s="12">
        <f t="shared" si="1"/>
        <v>1</v>
      </c>
      <c r="AR19" s="23">
        <v>40000</v>
      </c>
      <c r="AS19" s="23">
        <f t="shared" si="2"/>
        <v>40000</v>
      </c>
      <c r="AT19" s="23"/>
      <c r="AU19" s="24">
        <f t="shared" si="3"/>
        <v>40000</v>
      </c>
      <c r="AV19" s="12"/>
    </row>
    <row r="20" spans="1:48" ht="15.6" x14ac:dyDescent="0.3">
      <c r="A20" s="18"/>
      <c r="B20" s="12">
        <v>234</v>
      </c>
      <c r="C20" s="19">
        <v>15825</v>
      </c>
      <c r="D20" s="12" t="s">
        <v>73</v>
      </c>
      <c r="E20" s="12" t="s">
        <v>74</v>
      </c>
      <c r="F20" s="12" t="s">
        <v>43</v>
      </c>
      <c r="G20" s="12" t="s">
        <v>34</v>
      </c>
      <c r="H20" s="27">
        <v>45887</v>
      </c>
      <c r="I20" s="18" t="s">
        <v>35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2">
        <f t="shared" si="0"/>
        <v>0</v>
      </c>
      <c r="AO20" s="23">
        <f t="shared" si="5"/>
        <v>4191.8029999999999</v>
      </c>
      <c r="AP20" s="23">
        <f t="shared" si="4"/>
        <v>0</v>
      </c>
      <c r="AQ20" s="12">
        <f t="shared" si="1"/>
        <v>1</v>
      </c>
      <c r="AR20" s="23">
        <v>40000</v>
      </c>
      <c r="AS20" s="23">
        <f t="shared" si="2"/>
        <v>40000</v>
      </c>
      <c r="AT20" s="23"/>
      <c r="AU20" s="24">
        <f t="shared" si="3"/>
        <v>40000</v>
      </c>
      <c r="AV20" s="12"/>
    </row>
    <row r="21" spans="1:48" ht="15.6" x14ac:dyDescent="0.3">
      <c r="A21" s="18"/>
      <c r="B21" s="12">
        <v>234</v>
      </c>
      <c r="C21" s="25">
        <v>15849</v>
      </c>
      <c r="D21" s="12" t="s">
        <v>75</v>
      </c>
      <c r="E21" s="12" t="s">
        <v>76</v>
      </c>
      <c r="F21" s="12" t="s">
        <v>43</v>
      </c>
      <c r="G21" s="12" t="s">
        <v>34</v>
      </c>
      <c r="H21" s="27">
        <v>45901</v>
      </c>
      <c r="I21" s="18" t="s">
        <v>35</v>
      </c>
      <c r="J21" s="18" t="s">
        <v>35</v>
      </c>
      <c r="K21" s="18"/>
      <c r="L21" s="18"/>
      <c r="M21" s="18"/>
      <c r="N21" s="18"/>
      <c r="O21" s="18"/>
      <c r="P21" s="18" t="s">
        <v>35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2">
        <f t="shared" si="0"/>
        <v>0</v>
      </c>
      <c r="AO21" s="23">
        <f t="shared" si="5"/>
        <v>4191.8029999999999</v>
      </c>
      <c r="AP21" s="23">
        <f t="shared" si="4"/>
        <v>0</v>
      </c>
      <c r="AQ21" s="12">
        <f t="shared" si="1"/>
        <v>3</v>
      </c>
      <c r="AR21" s="23">
        <v>40000</v>
      </c>
      <c r="AS21" s="23">
        <f t="shared" si="2"/>
        <v>120000</v>
      </c>
      <c r="AT21" s="23"/>
      <c r="AU21" s="24">
        <f t="shared" si="3"/>
        <v>120000</v>
      </c>
      <c r="AV21" s="12"/>
    </row>
    <row r="22" spans="1:48" ht="15.6" x14ac:dyDescent="0.3">
      <c r="A22" s="18"/>
      <c r="B22" s="12">
        <v>234</v>
      </c>
      <c r="C22" s="19">
        <v>15972</v>
      </c>
      <c r="D22" s="12" t="s">
        <v>77</v>
      </c>
      <c r="E22" s="21" t="s">
        <v>78</v>
      </c>
      <c r="F22" s="21" t="s">
        <v>51</v>
      </c>
      <c r="G22" s="21" t="s">
        <v>66</v>
      </c>
      <c r="H22" s="22"/>
      <c r="I22" s="30"/>
      <c r="J22" s="30"/>
      <c r="K22" s="30"/>
      <c r="L22" s="18"/>
      <c r="M22" s="30"/>
      <c r="N22" s="30"/>
      <c r="O22" s="30"/>
      <c r="P22" s="30"/>
      <c r="Q22" s="18"/>
      <c r="R22" s="18"/>
      <c r="S22" s="18"/>
      <c r="T22" s="30"/>
      <c r="U22" s="18"/>
      <c r="V22" s="30"/>
      <c r="W22" s="30"/>
      <c r="X22" s="30"/>
      <c r="Y22" s="18"/>
      <c r="Z22" s="18"/>
      <c r="AA22" s="30"/>
      <c r="AB22" s="30"/>
      <c r="AC22" s="18"/>
      <c r="AD22" s="30"/>
      <c r="AE22" s="30"/>
      <c r="AF22" s="18"/>
      <c r="AG22" s="18"/>
      <c r="AH22" s="30"/>
      <c r="AI22" s="30"/>
      <c r="AJ22" s="30"/>
      <c r="AK22" s="30"/>
      <c r="AL22" s="30"/>
      <c r="AM22" s="18"/>
      <c r="AN22" s="12">
        <f t="shared" si="0"/>
        <v>0</v>
      </c>
      <c r="AO22" s="23">
        <f t="shared" si="5"/>
        <v>4191.8029999999999</v>
      </c>
      <c r="AP22" s="23">
        <f t="shared" si="4"/>
        <v>0</v>
      </c>
      <c r="AQ22" s="12">
        <f t="shared" si="1"/>
        <v>0</v>
      </c>
      <c r="AR22" s="23">
        <v>40000</v>
      </c>
      <c r="AS22" s="23">
        <f t="shared" si="2"/>
        <v>0</v>
      </c>
      <c r="AT22" s="23"/>
      <c r="AU22" s="24">
        <f t="shared" si="3"/>
        <v>0</v>
      </c>
      <c r="AV22" s="12"/>
    </row>
    <row r="23" spans="1:48" ht="15.6" x14ac:dyDescent="0.3">
      <c r="A23" s="18"/>
      <c r="B23" s="12">
        <v>234</v>
      </c>
      <c r="C23" s="19">
        <v>15840</v>
      </c>
      <c r="D23" s="20" t="s">
        <v>79</v>
      </c>
      <c r="E23" s="21" t="s">
        <v>80</v>
      </c>
      <c r="F23" s="21" t="s">
        <v>81</v>
      </c>
      <c r="G23" s="21" t="s">
        <v>82</v>
      </c>
      <c r="H23" s="22">
        <v>45901</v>
      </c>
      <c r="I23" s="18"/>
      <c r="J23" s="18"/>
      <c r="K23" s="18"/>
      <c r="L23" s="18"/>
      <c r="M23" s="18"/>
      <c r="N23" s="18"/>
      <c r="O23" s="18"/>
      <c r="P23" s="18"/>
      <c r="Q23" s="18">
        <v>4</v>
      </c>
      <c r="R23" s="18">
        <v>2</v>
      </c>
      <c r="S23" s="18"/>
      <c r="T23" s="18"/>
      <c r="U23" s="18"/>
      <c r="V23" s="18">
        <v>9</v>
      </c>
      <c r="W23" s="18">
        <v>2</v>
      </c>
      <c r="X23" s="18">
        <v>2</v>
      </c>
      <c r="Y23" s="18"/>
      <c r="Z23" s="18"/>
      <c r="AA23" s="18"/>
      <c r="AB23" s="18"/>
      <c r="AC23" s="18"/>
      <c r="AD23" s="18">
        <v>2</v>
      </c>
      <c r="AE23" s="18">
        <v>2</v>
      </c>
      <c r="AF23" s="18"/>
      <c r="AG23" s="18"/>
      <c r="AH23" s="18"/>
      <c r="AI23" s="18"/>
      <c r="AJ23" s="18"/>
      <c r="AK23" s="18"/>
      <c r="AL23" s="18"/>
      <c r="AM23" s="18"/>
      <c r="AN23" s="12">
        <f t="shared" si="0"/>
        <v>23</v>
      </c>
      <c r="AO23" s="23">
        <f t="shared" si="5"/>
        <v>4191.8029999999999</v>
      </c>
      <c r="AP23" s="23">
        <f t="shared" si="4"/>
        <v>96411</v>
      </c>
      <c r="AQ23" s="12">
        <f t="shared" si="1"/>
        <v>0</v>
      </c>
      <c r="AR23" s="23">
        <v>40000</v>
      </c>
      <c r="AS23" s="23">
        <f t="shared" si="2"/>
        <v>0</v>
      </c>
      <c r="AT23" s="23"/>
      <c r="AU23" s="24">
        <f t="shared" si="3"/>
        <v>96411</v>
      </c>
      <c r="AV23" s="12"/>
    </row>
    <row r="24" spans="1:48" ht="15.6" x14ac:dyDescent="0.3">
      <c r="A24" s="18"/>
      <c r="B24" s="12">
        <v>234</v>
      </c>
      <c r="C24" s="19">
        <v>15626</v>
      </c>
      <c r="D24" s="20" t="s">
        <v>83</v>
      </c>
      <c r="E24" s="21" t="s">
        <v>84</v>
      </c>
      <c r="F24" s="21" t="s">
        <v>85</v>
      </c>
      <c r="G24" s="21" t="s">
        <v>86</v>
      </c>
      <c r="H24" s="22">
        <v>45778</v>
      </c>
      <c r="I24" s="18" t="s">
        <v>35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2">
        <f t="shared" si="0"/>
        <v>0</v>
      </c>
      <c r="AO24" s="23">
        <f t="shared" si="5"/>
        <v>4191.8029999999999</v>
      </c>
      <c r="AP24" s="23">
        <f t="shared" si="4"/>
        <v>0</v>
      </c>
      <c r="AQ24" s="12">
        <f t="shared" si="1"/>
        <v>1</v>
      </c>
      <c r="AR24" s="23">
        <v>40000</v>
      </c>
      <c r="AS24" s="23">
        <f t="shared" si="2"/>
        <v>40000</v>
      </c>
      <c r="AT24" s="23"/>
      <c r="AU24" s="24">
        <f t="shared" si="3"/>
        <v>40000</v>
      </c>
      <c r="AV24" s="12"/>
    </row>
    <row r="25" spans="1:48" ht="15.6" x14ac:dyDescent="0.3">
      <c r="A25" s="12"/>
      <c r="B25" s="12">
        <v>234</v>
      </c>
      <c r="C25" s="19">
        <v>15423</v>
      </c>
      <c r="D25" s="20" t="s">
        <v>87</v>
      </c>
      <c r="E25" s="21" t="s">
        <v>88</v>
      </c>
      <c r="F25" s="21" t="s">
        <v>51</v>
      </c>
      <c r="G25" s="21" t="s">
        <v>52</v>
      </c>
      <c r="H25" s="22">
        <v>45664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2">
        <f t="shared" si="0"/>
        <v>0</v>
      </c>
      <c r="AO25" s="23">
        <f t="shared" si="5"/>
        <v>4191.8029999999999</v>
      </c>
      <c r="AP25" s="23">
        <f t="shared" si="4"/>
        <v>0</v>
      </c>
      <c r="AQ25" s="12">
        <f t="shared" si="1"/>
        <v>0</v>
      </c>
      <c r="AR25" s="23">
        <v>40000</v>
      </c>
      <c r="AS25" s="23">
        <f t="shared" si="2"/>
        <v>0</v>
      </c>
      <c r="AT25" s="23"/>
      <c r="AU25" s="24">
        <f t="shared" si="3"/>
        <v>0</v>
      </c>
      <c r="AV25" s="12"/>
    </row>
    <row r="26" spans="1:48" ht="15.6" x14ac:dyDescent="0.3">
      <c r="A26" s="12"/>
      <c r="B26" s="12">
        <v>234</v>
      </c>
      <c r="C26" s="19">
        <v>16072</v>
      </c>
      <c r="D26" s="20" t="s">
        <v>89</v>
      </c>
      <c r="E26" s="21" t="s">
        <v>90</v>
      </c>
      <c r="F26" s="21" t="s">
        <v>39</v>
      </c>
      <c r="G26" s="21" t="s">
        <v>34</v>
      </c>
      <c r="H26" s="22">
        <v>46063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2">
        <f t="shared" si="0"/>
        <v>0</v>
      </c>
      <c r="AO26" s="23">
        <f t="shared" si="5"/>
        <v>4191.8029999999999</v>
      </c>
      <c r="AP26" s="23">
        <f t="shared" si="4"/>
        <v>0</v>
      </c>
      <c r="AQ26" s="12">
        <f t="shared" si="1"/>
        <v>0</v>
      </c>
      <c r="AR26" s="23">
        <v>40000</v>
      </c>
      <c r="AS26" s="23">
        <f t="shared" si="2"/>
        <v>0</v>
      </c>
      <c r="AT26" s="23"/>
      <c r="AU26" s="24">
        <f t="shared" si="3"/>
        <v>0</v>
      </c>
      <c r="AV26" s="12"/>
    </row>
    <row r="27" spans="1:48" ht="15.6" x14ac:dyDescent="0.3">
      <c r="A27" s="12"/>
      <c r="B27" s="12">
        <v>234</v>
      </c>
      <c r="C27" s="19">
        <v>16073</v>
      </c>
      <c r="D27" s="20" t="s">
        <v>91</v>
      </c>
      <c r="E27" s="21" t="s">
        <v>92</v>
      </c>
      <c r="F27" s="21" t="s">
        <v>39</v>
      </c>
      <c r="G27" s="21" t="s">
        <v>34</v>
      </c>
      <c r="H27" s="22">
        <v>46063</v>
      </c>
      <c r="I27" s="18" t="s">
        <v>35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2">
        <f t="shared" si="0"/>
        <v>0</v>
      </c>
      <c r="AO27" s="23">
        <f t="shared" si="5"/>
        <v>4191.8029999999999</v>
      </c>
      <c r="AP27" s="23">
        <f t="shared" si="4"/>
        <v>0</v>
      </c>
      <c r="AQ27" s="12">
        <f t="shared" si="1"/>
        <v>1</v>
      </c>
      <c r="AR27" s="23">
        <v>40000</v>
      </c>
      <c r="AS27" s="23">
        <f t="shared" si="2"/>
        <v>40000</v>
      </c>
      <c r="AT27" s="23"/>
      <c r="AU27" s="24">
        <f t="shared" si="3"/>
        <v>40000</v>
      </c>
      <c r="AV27" s="12"/>
    </row>
    <row r="28" spans="1:48" ht="15.6" x14ac:dyDescent="0.3">
      <c r="A28" s="12"/>
      <c r="B28" s="12">
        <v>234</v>
      </c>
      <c r="C28" s="19">
        <v>15851</v>
      </c>
      <c r="D28" s="20" t="s">
        <v>93</v>
      </c>
      <c r="E28" s="21" t="s">
        <v>94</v>
      </c>
      <c r="F28" s="21" t="s">
        <v>51</v>
      </c>
      <c r="G28" s="21" t="s">
        <v>52</v>
      </c>
      <c r="H28" s="22">
        <v>45901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2">
        <f t="shared" si="0"/>
        <v>0</v>
      </c>
      <c r="AO28" s="23">
        <f t="shared" si="5"/>
        <v>4191.8029999999999</v>
      </c>
      <c r="AP28" s="23">
        <f t="shared" si="4"/>
        <v>0</v>
      </c>
      <c r="AQ28" s="12">
        <f t="shared" si="1"/>
        <v>0</v>
      </c>
      <c r="AR28" s="23">
        <v>40000</v>
      </c>
      <c r="AS28" s="23">
        <f t="shared" si="2"/>
        <v>0</v>
      </c>
      <c r="AT28" s="23"/>
      <c r="AU28" s="24">
        <f t="shared" si="3"/>
        <v>0</v>
      </c>
      <c r="AV28" s="12"/>
    </row>
    <row r="29" spans="1:48" ht="15.6" x14ac:dyDescent="0.3">
      <c r="A29" s="12"/>
      <c r="B29" s="12">
        <v>234</v>
      </c>
      <c r="C29" s="19">
        <v>16078</v>
      </c>
      <c r="D29" s="20" t="s">
        <v>95</v>
      </c>
      <c r="E29" s="21" t="s">
        <v>96</v>
      </c>
      <c r="F29" s="12" t="s">
        <v>39</v>
      </c>
      <c r="G29" s="12" t="s">
        <v>34</v>
      </c>
      <c r="H29" s="27">
        <v>46069</v>
      </c>
      <c r="I29" s="18" t="s">
        <v>35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2">
        <f t="shared" si="0"/>
        <v>0</v>
      </c>
      <c r="AO29" s="23">
        <f t="shared" si="5"/>
        <v>4191.8029999999999</v>
      </c>
      <c r="AP29" s="23">
        <f t="shared" si="4"/>
        <v>0</v>
      </c>
      <c r="AQ29" s="12">
        <f t="shared" si="1"/>
        <v>1</v>
      </c>
      <c r="AR29" s="23">
        <v>40000</v>
      </c>
      <c r="AS29" s="23">
        <f t="shared" si="2"/>
        <v>40000</v>
      </c>
      <c r="AT29" s="23"/>
      <c r="AU29" s="24">
        <f t="shared" si="3"/>
        <v>40000</v>
      </c>
      <c r="AV29" s="12"/>
    </row>
    <row r="30" spans="1:48" ht="15.6" x14ac:dyDescent="0.3">
      <c r="A30" s="12"/>
      <c r="B30" s="12">
        <v>234</v>
      </c>
      <c r="C30" s="19">
        <v>16080</v>
      </c>
      <c r="D30" s="20" t="s">
        <v>97</v>
      </c>
      <c r="E30" s="21" t="s">
        <v>98</v>
      </c>
      <c r="F30" s="12" t="s">
        <v>39</v>
      </c>
      <c r="G30" s="12" t="s">
        <v>34</v>
      </c>
      <c r="H30" s="27">
        <v>46072</v>
      </c>
      <c r="I30" s="18"/>
      <c r="J30" s="18"/>
      <c r="K30" s="18"/>
      <c r="L30" s="18"/>
      <c r="M30" s="18"/>
      <c r="N30" s="18"/>
      <c r="O30" s="18"/>
      <c r="P30" s="18" t="s">
        <v>35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2">
        <f t="shared" si="0"/>
        <v>0</v>
      </c>
      <c r="AO30" s="23">
        <f t="shared" si="5"/>
        <v>4191.8029999999999</v>
      </c>
      <c r="AP30" s="23">
        <f t="shared" si="4"/>
        <v>0</v>
      </c>
      <c r="AQ30" s="12">
        <f t="shared" si="1"/>
        <v>1</v>
      </c>
      <c r="AR30" s="23">
        <v>40000</v>
      </c>
      <c r="AS30" s="23">
        <f t="shared" si="2"/>
        <v>40000</v>
      </c>
      <c r="AT30" s="23"/>
      <c r="AU30" s="24">
        <f t="shared" si="3"/>
        <v>40000</v>
      </c>
      <c r="AV30" s="12"/>
    </row>
    <row r="31" spans="1:48" ht="15.6" x14ac:dyDescent="0.3">
      <c r="A31" s="12"/>
      <c r="B31" s="12">
        <v>234</v>
      </c>
      <c r="C31" s="19">
        <v>16081</v>
      </c>
      <c r="D31" s="20" t="s">
        <v>99</v>
      </c>
      <c r="E31" s="21" t="s">
        <v>100</v>
      </c>
      <c r="F31" s="12" t="s">
        <v>39</v>
      </c>
      <c r="G31" s="12" t="s">
        <v>34</v>
      </c>
      <c r="H31" s="27">
        <v>46072</v>
      </c>
      <c r="I31" s="18"/>
      <c r="J31" s="18"/>
      <c r="K31" s="18"/>
      <c r="L31" s="18"/>
      <c r="M31" s="18"/>
      <c r="N31" s="18"/>
      <c r="O31" s="18"/>
      <c r="P31" s="18" t="s">
        <v>35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2">
        <f t="shared" si="0"/>
        <v>0</v>
      </c>
      <c r="AO31" s="23">
        <f t="shared" si="5"/>
        <v>4191.8029999999999</v>
      </c>
      <c r="AP31" s="23">
        <f t="shared" si="4"/>
        <v>0</v>
      </c>
      <c r="AQ31" s="12">
        <f t="shared" si="1"/>
        <v>1</v>
      </c>
      <c r="AR31" s="23">
        <v>40000</v>
      </c>
      <c r="AS31" s="23">
        <f t="shared" si="2"/>
        <v>40000</v>
      </c>
      <c r="AT31" s="23"/>
      <c r="AU31" s="24">
        <f t="shared" si="3"/>
        <v>40000</v>
      </c>
      <c r="AV31" s="12"/>
    </row>
    <row r="32" spans="1:48" ht="15.6" x14ac:dyDescent="0.3">
      <c r="A32" s="12"/>
      <c r="B32" s="12"/>
      <c r="C32" s="12"/>
      <c r="D32" s="12"/>
      <c r="E32" s="12"/>
      <c r="F32" s="12"/>
      <c r="G32" s="12"/>
      <c r="H32" s="27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>
        <f t="shared" si="0"/>
        <v>0</v>
      </c>
      <c r="AO32" s="23">
        <f t="shared" si="5"/>
        <v>4191.8029999999999</v>
      </c>
      <c r="AP32" s="23">
        <f t="shared" si="4"/>
        <v>0</v>
      </c>
      <c r="AQ32" s="12">
        <f t="shared" si="1"/>
        <v>0</v>
      </c>
      <c r="AR32" s="23">
        <v>40000</v>
      </c>
      <c r="AS32" s="23">
        <f t="shared" si="2"/>
        <v>0</v>
      </c>
      <c r="AT32" s="23"/>
      <c r="AU32" s="24">
        <f t="shared" si="3"/>
        <v>0</v>
      </c>
      <c r="AV32" s="12"/>
    </row>
  </sheetData>
  <mergeCells count="4">
    <mergeCell ref="I2:S2"/>
    <mergeCell ref="T2:AM2"/>
    <mergeCell ref="AN3:AP3"/>
    <mergeCell ref="AQ3:AS3"/>
  </mergeCells>
  <conditionalFormatting sqref="A5:A24 I5:AM31">
    <cfRule type="cellIs" dxfId="11" priority="2" operator="equal">
      <formula>"DT"</formula>
    </cfRule>
    <cfRule type="cellIs" dxfId="10" priority="3" operator="equal">
      <formula>"VM"</formula>
    </cfRule>
    <cfRule type="cellIs" dxfId="9" priority="4" operator="equal">
      <formula>"V"</formula>
    </cfRule>
    <cfRule type="cellIs" dxfId="8" priority="5" operator="equal">
      <formula>"LM"</formula>
    </cfRule>
    <cfRule type="cellIs" dxfId="7" priority="6" operator="equal">
      <formula>"L"</formula>
    </cfRule>
    <cfRule type="cellIs" dxfId="6" priority="7" operator="equal">
      <formula>"PM"</formula>
    </cfRule>
    <cfRule type="cellIs" dxfId="5" priority="8" operator="equal">
      <formula>"P"</formula>
    </cfRule>
    <cfRule type="cellIs" dxfId="4" priority="9" operator="equal">
      <formula>"FM"</formula>
    </cfRule>
    <cfRule type="cellIs" dxfId="3" priority="10" operator="equal">
      <formula>"F"</formula>
    </cfRule>
    <cfRule type="cellIs" dxfId="2" priority="11" operator="equal">
      <formula>"DN"</formula>
    </cfRule>
    <cfRule type="cellIs" dxfId="1" priority="12" operator="equal">
      <formula>"D"</formula>
    </cfRule>
  </conditionalFormatting>
  <conditionalFormatting sqref="I3:AM3">
    <cfRule type="cellIs" dxfId="0" priority="1" operator="equal">
      <formula>"D"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Fuentes Salazar</dc:creator>
  <cp:lastModifiedBy>Maria Alejandra Fuentes Salazar</cp:lastModifiedBy>
  <dcterms:created xsi:type="dcterms:W3CDTF">2026-03-27T13:00:58Z</dcterms:created>
  <dcterms:modified xsi:type="dcterms:W3CDTF">2026-03-27T13:02:42Z</dcterms:modified>
</cp:coreProperties>
</file>