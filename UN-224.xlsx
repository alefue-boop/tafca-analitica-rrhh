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d780f62ab1929f/Escritorio/REMUNERACIONES/2026/MARZO/"/>
    </mc:Choice>
  </mc:AlternateContent>
  <xr:revisionPtr revIDLastSave="0" documentId="8_{70FB3E0F-9D42-442B-B6D6-289107B71250}" xr6:coauthVersionLast="47" xr6:coauthVersionMax="47" xr10:uidLastSave="{00000000-0000-0000-0000-000000000000}"/>
  <bookViews>
    <workbookView xWindow="-108" yWindow="-108" windowWidth="23256" windowHeight="12456" xr2:uid="{93A47C52-6B1E-41BD-86DB-9D2B7457B249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49" i="1" l="1"/>
  <c r="BL49" i="1" s="1"/>
  <c r="BG49" i="1"/>
  <c r="BI49" i="1" s="1"/>
  <c r="BN49" i="1" s="1"/>
  <c r="BJ48" i="1"/>
  <c r="BL48" i="1" s="1"/>
  <c r="BG48" i="1"/>
  <c r="BI48" i="1" s="1"/>
  <c r="BN48" i="1" s="1"/>
  <c r="BJ47" i="1"/>
  <c r="BL47" i="1" s="1"/>
  <c r="BG47" i="1"/>
  <c r="BI47" i="1" s="1"/>
  <c r="BN47" i="1" s="1"/>
  <c r="BL46" i="1"/>
  <c r="BJ46" i="1"/>
  <c r="BG46" i="1"/>
  <c r="BI46" i="1" s="1"/>
  <c r="BN46" i="1" s="1"/>
  <c r="BJ45" i="1"/>
  <c r="BL45" i="1" s="1"/>
  <c r="BG45" i="1"/>
  <c r="BI45" i="1" s="1"/>
  <c r="BN45" i="1" s="1"/>
  <c r="BJ44" i="1"/>
  <c r="BL44" i="1" s="1"/>
  <c r="BI44" i="1"/>
  <c r="BG44" i="1"/>
  <c r="BJ43" i="1"/>
  <c r="BL43" i="1" s="1"/>
  <c r="BG43" i="1"/>
  <c r="BI43" i="1" s="1"/>
  <c r="BN43" i="1" s="1"/>
  <c r="BL42" i="1"/>
  <c r="BJ42" i="1"/>
  <c r="BG42" i="1"/>
  <c r="BI42" i="1" s="1"/>
  <c r="BN42" i="1" s="1"/>
  <c r="BL41" i="1"/>
  <c r="BJ41" i="1"/>
  <c r="BG41" i="1"/>
  <c r="BI41" i="1" s="1"/>
  <c r="BN41" i="1" s="1"/>
  <c r="BJ40" i="1"/>
  <c r="BL40" i="1" s="1"/>
  <c r="BI40" i="1"/>
  <c r="BN40" i="1" s="1"/>
  <c r="BG40" i="1"/>
  <c r="BJ39" i="1"/>
  <c r="BL39" i="1" s="1"/>
  <c r="BG39" i="1"/>
  <c r="BI39" i="1" s="1"/>
  <c r="BN39" i="1" s="1"/>
  <c r="BJ38" i="1"/>
  <c r="BL38" i="1" s="1"/>
  <c r="BG38" i="1"/>
  <c r="BI38" i="1" s="1"/>
  <c r="BN38" i="1" s="1"/>
  <c r="BJ37" i="1"/>
  <c r="BL37" i="1" s="1"/>
  <c r="BG37" i="1"/>
  <c r="BI37" i="1" s="1"/>
  <c r="BN37" i="1" s="1"/>
  <c r="BJ36" i="1"/>
  <c r="BL36" i="1" s="1"/>
  <c r="BG36" i="1"/>
  <c r="BI36" i="1" s="1"/>
  <c r="BN36" i="1" s="1"/>
  <c r="BJ35" i="1"/>
  <c r="BL35" i="1" s="1"/>
  <c r="BG35" i="1"/>
  <c r="BI35" i="1" s="1"/>
  <c r="BN35" i="1" s="1"/>
  <c r="BL34" i="1"/>
  <c r="BJ34" i="1"/>
  <c r="BG34" i="1"/>
  <c r="BI34" i="1" s="1"/>
  <c r="BN34" i="1" s="1"/>
  <c r="BJ33" i="1"/>
  <c r="BL33" i="1" s="1"/>
  <c r="BG33" i="1"/>
  <c r="BI33" i="1" s="1"/>
  <c r="BN33" i="1" s="1"/>
  <c r="BJ32" i="1"/>
  <c r="BL32" i="1" s="1"/>
  <c r="BI32" i="1"/>
  <c r="BN32" i="1" s="1"/>
  <c r="BG32" i="1"/>
  <c r="BJ31" i="1"/>
  <c r="BL31" i="1" s="1"/>
  <c r="BG31" i="1"/>
  <c r="BI31" i="1" s="1"/>
  <c r="BN31" i="1" s="1"/>
  <c r="BL30" i="1"/>
  <c r="BJ30" i="1"/>
  <c r="BG30" i="1"/>
  <c r="BI30" i="1" s="1"/>
  <c r="BN30" i="1" s="1"/>
  <c r="BJ29" i="1"/>
  <c r="BL29" i="1" s="1"/>
  <c r="BG29" i="1"/>
  <c r="BI29" i="1" s="1"/>
  <c r="BN29" i="1" s="1"/>
  <c r="BJ28" i="1"/>
  <c r="BL28" i="1" s="1"/>
  <c r="BI28" i="1"/>
  <c r="BN28" i="1" s="1"/>
  <c r="BG28" i="1"/>
  <c r="BJ27" i="1"/>
  <c r="BL27" i="1" s="1"/>
  <c r="BG27" i="1"/>
  <c r="BI27" i="1" s="1"/>
  <c r="BN27" i="1" s="1"/>
  <c r="BL26" i="1"/>
  <c r="BG26" i="1"/>
  <c r="BI26" i="1" s="1"/>
  <c r="BN26" i="1" s="1"/>
  <c r="BL25" i="1"/>
  <c r="BJ25" i="1"/>
  <c r="BG25" i="1"/>
  <c r="BI25" i="1" s="1"/>
  <c r="BN25" i="1" s="1"/>
  <c r="BJ24" i="1"/>
  <c r="BL24" i="1" s="1"/>
  <c r="BG24" i="1"/>
  <c r="BI24" i="1" s="1"/>
  <c r="BN24" i="1" s="1"/>
  <c r="BJ23" i="1"/>
  <c r="BL23" i="1" s="1"/>
  <c r="BI23" i="1"/>
  <c r="BN23" i="1" s="1"/>
  <c r="BG23" i="1"/>
  <c r="BJ22" i="1"/>
  <c r="BL22" i="1" s="1"/>
  <c r="BG22" i="1"/>
  <c r="BI22" i="1" s="1"/>
  <c r="BN22" i="1" s="1"/>
  <c r="BJ21" i="1"/>
  <c r="BL21" i="1" s="1"/>
  <c r="BG21" i="1"/>
  <c r="BI21" i="1" s="1"/>
  <c r="BN21" i="1" s="1"/>
  <c r="BL20" i="1"/>
  <c r="BJ20" i="1"/>
  <c r="BG20" i="1"/>
  <c r="BI20" i="1" s="1"/>
  <c r="BN20" i="1" s="1"/>
  <c r="BJ19" i="1"/>
  <c r="BL19" i="1" s="1"/>
  <c r="BG19" i="1"/>
  <c r="BI19" i="1" s="1"/>
  <c r="BN19" i="1" s="1"/>
  <c r="BJ18" i="1"/>
  <c r="BL18" i="1" s="1"/>
  <c r="BN18" i="1" s="1"/>
  <c r="BI18" i="1"/>
  <c r="BG18" i="1"/>
  <c r="BL17" i="1"/>
  <c r="BJ17" i="1"/>
  <c r="BG17" i="1"/>
  <c r="BI17" i="1" s="1"/>
  <c r="BN17" i="1" s="1"/>
  <c r="BJ16" i="1"/>
  <c r="BL16" i="1" s="1"/>
  <c r="BG16" i="1"/>
  <c r="BI16" i="1" s="1"/>
  <c r="BN16" i="1" s="1"/>
  <c r="BJ15" i="1"/>
  <c r="BL15" i="1" s="1"/>
  <c r="BI15" i="1"/>
  <c r="BN15" i="1" s="1"/>
  <c r="BG15" i="1"/>
  <c r="BJ14" i="1"/>
  <c r="BL14" i="1" s="1"/>
  <c r="BG14" i="1"/>
  <c r="BI14" i="1" s="1"/>
  <c r="BN14" i="1" s="1"/>
  <c r="BL13" i="1"/>
  <c r="BJ13" i="1"/>
  <c r="BG13" i="1"/>
  <c r="BI13" i="1" s="1"/>
  <c r="BN13" i="1" s="1"/>
  <c r="BJ12" i="1"/>
  <c r="BL12" i="1" s="1"/>
  <c r="BG12" i="1"/>
  <c r="BI12" i="1" s="1"/>
  <c r="BJ11" i="1"/>
  <c r="BL11" i="1" s="1"/>
  <c r="BI11" i="1"/>
  <c r="BN11" i="1" s="1"/>
  <c r="BG11" i="1"/>
  <c r="BJ10" i="1"/>
  <c r="BL10" i="1" s="1"/>
  <c r="BG10" i="1"/>
  <c r="BI10" i="1" s="1"/>
  <c r="BJ9" i="1"/>
  <c r="BL9" i="1" s="1"/>
  <c r="BG9" i="1"/>
  <c r="BI9" i="1" s="1"/>
  <c r="BN9" i="1" s="1"/>
  <c r="BL8" i="1"/>
  <c r="BJ8" i="1"/>
  <c r="BG8" i="1"/>
  <c r="BI8" i="1" s="1"/>
  <c r="BN8" i="1" s="1"/>
  <c r="BJ7" i="1"/>
  <c r="BL7" i="1" s="1"/>
  <c r="BG7" i="1"/>
  <c r="BI7" i="1" s="1"/>
  <c r="BJ6" i="1"/>
  <c r="BL6" i="1" s="1"/>
  <c r="BN6" i="1" s="1"/>
  <c r="BI6" i="1"/>
  <c r="BG6" i="1"/>
  <c r="BL5" i="1"/>
  <c r="BJ5" i="1"/>
  <c r="BG5" i="1"/>
  <c r="BI5" i="1" s="1"/>
  <c r="BN5" i="1" s="1"/>
  <c r="BO2" i="1"/>
  <c r="A2" i="1"/>
  <c r="BH1" i="1"/>
  <c r="F1" i="1"/>
  <c r="AM2" i="1" s="1"/>
  <c r="BN7" i="1" l="1"/>
  <c r="BN12" i="1"/>
  <c r="BN10" i="1"/>
  <c r="BN44" i="1"/>
</calcChain>
</file>

<file path=xl/sharedStrings.xml><?xml version="1.0" encoding="utf-8"?>
<sst xmlns="http://schemas.openxmlformats.org/spreadsheetml/2006/main" count="301" uniqueCount="150">
  <si>
    <t>PLANILLA ASISTENCIA</t>
  </si>
  <si>
    <t>MES     ANTERIOR</t>
  </si>
  <si>
    <t>Valor Hora Trato = (Sueldo Base x 0,0077777)</t>
  </si>
  <si>
    <t>M</t>
  </si>
  <si>
    <t>J</t>
  </si>
  <si>
    <t>V</t>
  </si>
  <si>
    <t>S</t>
  </si>
  <si>
    <t>D</t>
  </si>
  <si>
    <t>L</t>
  </si>
  <si>
    <t>HORAS    TRATO</t>
  </si>
  <si>
    <t>DESCANSO TRABAJADO</t>
  </si>
  <si>
    <t>Otros</t>
  </si>
  <si>
    <t>TOTAL</t>
  </si>
  <si>
    <t>DESCRIPCION DE</t>
  </si>
  <si>
    <t>Nº</t>
  </si>
  <si>
    <t>Faena</t>
  </si>
  <si>
    <t>COD</t>
  </si>
  <si>
    <t>RUT</t>
  </si>
  <si>
    <t>NOMBRE</t>
  </si>
  <si>
    <t>CARGO</t>
  </si>
  <si>
    <t>GRUPO TRABAJO</t>
  </si>
  <si>
    <t>FECHA INGRESO</t>
  </si>
  <si>
    <t>Cant.</t>
  </si>
  <si>
    <t>Valor c/u.</t>
  </si>
  <si>
    <t>Sub Total</t>
  </si>
  <si>
    <t>Bonos</t>
  </si>
  <si>
    <t>TRATOS</t>
  </si>
  <si>
    <t>LOS BONOS PAGADOS</t>
  </si>
  <si>
    <t>18.360.130-K</t>
  </si>
  <si>
    <t>ROJAS VASQUEZ, JORGE EDUARDO</t>
  </si>
  <si>
    <t>CAPATAZ SEÑALIZACION</t>
  </si>
  <si>
    <t>TERRENO</t>
  </si>
  <si>
    <t>DT</t>
  </si>
  <si>
    <t xml:space="preserve"> PLAN CONTINGENCIA FINDESEMANA Y CAMBIOS PALETERO NOCHE, COLOCAR SEÑALIZACION EN CORTES DE CAMINO,</t>
  </si>
  <si>
    <t xml:space="preserve">14.443.583-4 </t>
  </si>
  <si>
    <t>TOLOZA VASQUEZ, JUAN PABLO</t>
  </si>
  <si>
    <t>VIGILANTE</t>
  </si>
  <si>
    <t>PLANTA</t>
  </si>
  <si>
    <t>FIRMAN 2 HRS LIBRO Y 1 TRATO ENTRAN A LAS 7 PMY SALEN A 7 AM, TRABAJARON  DIASCUIDADANDO CALDERA PLAF-101</t>
  </si>
  <si>
    <t>8.024.848-2</t>
  </si>
  <si>
    <t>QUIROZ ZUNIGA, SEBASTIAN ANTONIO</t>
  </si>
  <si>
    <t>OFICINA</t>
  </si>
  <si>
    <t>FIRMAN 2 HRS LIBRO Y 1 TRATO ENTRAN A LAS 7 PMY SALEN A 7 AM</t>
  </si>
  <si>
    <t>14.021.085-4</t>
  </si>
  <si>
    <t>HERNANDEZ VILLAGRA, ELSON HERNAN</t>
  </si>
  <si>
    <t>FIRMAN 2 HRS LIBRO Y 1 TRATO ENTRAN A LAS 7 PM Y SALEN A 7 AM</t>
  </si>
  <si>
    <t xml:space="preserve">19.897.144-8 </t>
  </si>
  <si>
    <t>VALDES GONZALEZ, EDWARD ALEXANDER</t>
  </si>
  <si>
    <t>POZO RIO</t>
  </si>
  <si>
    <t xml:space="preserve">12.359.328-6 </t>
  </si>
  <si>
    <t>TORRES GONZALEZ, JENARO MAXIMILIANO</t>
  </si>
  <si>
    <t>FIRMAN 2 HRS LIBRO Y 1 TRATO ENTRAN A LAS 7 PMY SALEN A 7 AM, BONO RESPONSABILIDAD SE PREOCUPA DE CALENTAR LA CALDERA CUANDO FUNCIONA PLAF-101 FUERON 8 DIAS, PARA NO CONTRATAR AUN CALDERERO</t>
  </si>
  <si>
    <t xml:space="preserve">8.875.287-2 </t>
  </si>
  <si>
    <t>BERRIOS GONZALEZ, LUIS HUMBERTO</t>
  </si>
  <si>
    <t xml:space="preserve">16.004.051-3 </t>
  </si>
  <si>
    <t>VALDES ZENTENO, MAURICIO ESTEBAN</t>
  </si>
  <si>
    <t>CHOFER CCP</t>
  </si>
  <si>
    <t>CCP-106</t>
  </si>
  <si>
    <t xml:space="preserve">HORAS EXTRAS, HORA COLACION CARGAR PETROLEO </t>
  </si>
  <si>
    <t>21.839.286-5</t>
  </si>
  <si>
    <t>ROJAS VASQUEZ, JESUS DAMIAN</t>
  </si>
  <si>
    <t>AYUDANTE ADMINISTRATIVO</t>
  </si>
  <si>
    <t>HORAS EXTRAS APOYO PREVENCION, CUIDANDO MAQUINARIA PUENTE MARIMAURA DE DIA, BONO RESPONSABILIDAD AYUDANTE ADMINISTRATIVO</t>
  </si>
  <si>
    <t xml:space="preserve">21.558.356-2 </t>
  </si>
  <si>
    <t>CHAVEZ VASQUEZ, JOSE ARMANDO</t>
  </si>
  <si>
    <t>CUIDANDO MAQUINARIA PUENTE MARIMAURA</t>
  </si>
  <si>
    <t xml:space="preserve">21.091.727-6 </t>
  </si>
  <si>
    <t>LARA MURGA, THOMAS ELIAS</t>
  </si>
  <si>
    <t>CARCHECK</t>
  </si>
  <si>
    <t>TRABAJO CUIDANDO MAQUINARIA PLANTA ARIDO</t>
  </si>
  <si>
    <t>13.355.438-6</t>
  </si>
  <si>
    <t>ARAVENA JAQUE, ALEJANDRO MARCELINO</t>
  </si>
  <si>
    <t>PALETERO</t>
  </si>
  <si>
    <t>DIA</t>
  </si>
  <si>
    <t>TRABAJAN DE 20 PM A 8 AM Y FINDESEMANA CUIDANDO CANCHAS CON IMPRIMACION</t>
  </si>
  <si>
    <t xml:space="preserve">15.150.718-2 </t>
  </si>
  <si>
    <t>GATICA GONZALEZ, MANUEL ANTONIO</t>
  </si>
  <si>
    <t>22.158.466-K</t>
  </si>
  <si>
    <t>REBECO MUÑOZ, BENJAMIN ANDRES</t>
  </si>
  <si>
    <t xml:space="preserve">20.759.279-K </t>
  </si>
  <si>
    <t>ALBORNOZ TOLORZA, FRANCISCO JAVIER</t>
  </si>
  <si>
    <t>22.106.363-5</t>
  </si>
  <si>
    <t>URRUTIA CANCINO, MATIAS ANTONIO</t>
  </si>
  <si>
    <t>NOCHE</t>
  </si>
  <si>
    <t>21.783.692-1</t>
  </si>
  <si>
    <t>MORALES ROJAS, MATIAS FERNANDO</t>
  </si>
  <si>
    <t xml:space="preserve">16.792.932-K </t>
  </si>
  <si>
    <t>RODRIGUEZ CRESPO, JORGE LUIS</t>
  </si>
  <si>
    <t>MAESTRO</t>
  </si>
  <si>
    <t>APOYO CAMBIO DE PALETEROS Y PLAN DE CONTINEGENCIA FINDESEMANA TRASLADO MAESTROS OOCC</t>
  </si>
  <si>
    <t>19.788.895-4</t>
  </si>
  <si>
    <t>SALGADO OSORIO, YONY MARCELO</t>
  </si>
  <si>
    <t>TRABAJAN DE 8 AM A 20 PM Y FINDESEMANA CUIDANDO CANCHAS CON IMPRIMACION</t>
  </si>
  <si>
    <t xml:space="preserve">21.880.943-K </t>
  </si>
  <si>
    <t>VILLALOBOS URIBE, VALENTIN ESTEBAN</t>
  </si>
  <si>
    <t>JORNAL</t>
  </si>
  <si>
    <t xml:space="preserve">REEMPLAZO PALETERO DE DIA FINDE SEMANA,DIA SABADO TRABAJO ENCARPANDO CAMION RETIRO DE TUBOS Y ESCOMBROS </t>
  </si>
  <si>
    <t xml:space="preserve">12.397.283-K </t>
  </si>
  <si>
    <t>CORTES GODOY, GEORGE ALEX</t>
  </si>
  <si>
    <t>ENCARGADO BODEGA</t>
  </si>
  <si>
    <t>BONO RESPONSABILIDAD RETIROS BASURAS INSTALACION FAENA Y PLANTA AIRDOS</t>
  </si>
  <si>
    <t xml:space="preserve">13575936-8 </t>
  </si>
  <si>
    <t>ANDRADES ZAPATA, PEDRO FABIAN</t>
  </si>
  <si>
    <t>CAPATAZ</t>
  </si>
  <si>
    <t>,BONO RESPONSABILIDAD Y PRODUCCION</t>
  </si>
  <si>
    <t>12.040.663-9</t>
  </si>
  <si>
    <t>ROJAS PEREZ, JORGE ANTONIO</t>
  </si>
  <si>
    <t>TRABAJO FINDESEMANA PALETERO DE DIA</t>
  </si>
  <si>
    <t xml:space="preserve">14.609.983-1 </t>
  </si>
  <si>
    <t>CACERES CACERES, ALEJANDRO ANTONIO</t>
  </si>
  <si>
    <t>CHOFER</t>
  </si>
  <si>
    <t>CT3-112</t>
  </si>
  <si>
    <t>VIAJE SABADOS A TALLER RANCAGUA A BUSCAR REPUESTOS Y MATERIALES, TRABAJOS RETIROS DE TUBO Y ESCOMBROS</t>
  </si>
  <si>
    <t xml:space="preserve">20.070.208-5 </t>
  </si>
  <si>
    <t>MANRIQUEZ SALAS, LUCAS ALEJANDRO</t>
  </si>
  <si>
    <t xml:space="preserve">DIA SABADO TRABAJO ENCARPANDO CAMION RETIRO DE TUBOS Y ESCOMBROS </t>
  </si>
  <si>
    <t>20.070.572-6</t>
  </si>
  <si>
    <t>SEPULVEDA JAQUE, JOSE MANUEL</t>
  </si>
  <si>
    <t>OPERADOR</t>
  </si>
  <si>
    <t>EX-131</t>
  </si>
  <si>
    <t xml:space="preserve">REPARACION APR OA N°2, </t>
  </si>
  <si>
    <t>12.717.842-9</t>
  </si>
  <si>
    <t>ESPINOZA VERGARA, ELEAZAR GERVASIO</t>
  </si>
  <si>
    <t>REPARACION APR OA N°2, HACER MOLDAJE Y ENFIERRADURA ZAPATA PUENTE MARIMAURA</t>
  </si>
  <si>
    <t>12.071.597-6</t>
  </si>
  <si>
    <t>CASTILLO GUERRERO, EDUARDO DEL ROSARIO</t>
  </si>
  <si>
    <t>13.661.080-5</t>
  </si>
  <si>
    <t>DURAN IBARRA, DANILO ALEJANDRO</t>
  </si>
  <si>
    <t>10.442.526-7</t>
  </si>
  <si>
    <t>TORO ARANDA, JORGE LUIS</t>
  </si>
  <si>
    <t>19.574.904-3</t>
  </si>
  <si>
    <t>PEREZ ORTEGA, MAURICIO EDUARDO</t>
  </si>
  <si>
    <t>AY JEFE TOPOGRAFIA</t>
  </si>
  <si>
    <t>TRABAJOS RESPALDOS DE TOPOGRAFIA SOLICIATADO POR JOSE CORNEJO</t>
  </si>
  <si>
    <t xml:space="preserve">20.008.368-7 </t>
  </si>
  <si>
    <t>RODRIGUEZ ARRIAGADA, LEONARDO SEBASTIAN</t>
  </si>
  <si>
    <t>ALARIFE</t>
  </si>
  <si>
    <t xml:space="preserve">11.774.780-8 </t>
  </si>
  <si>
    <t>VERA DIAZ, RIGOBERTO ENRIQUE</t>
  </si>
  <si>
    <t>15.447.456-0</t>
  </si>
  <si>
    <t>FERNANDEZ AGUAYO, PAULO CESAR</t>
  </si>
  <si>
    <t>RET-115</t>
  </si>
  <si>
    <t>HORAS EXTRAS ASFALTADO BACHES OBRA PENCAHUE</t>
  </si>
  <si>
    <t>17.503.328-9</t>
  </si>
  <si>
    <t>SEVERINO RAMOS, MIGUEL ANGEL</t>
  </si>
  <si>
    <t>OOCC</t>
  </si>
  <si>
    <t>TRABAJOS DE HORMIGON PUENTE MARIMAURA</t>
  </si>
  <si>
    <t xml:space="preserve">18.574.501-5 </t>
  </si>
  <si>
    <t>LARA MUNOZ, JONNATHAN HUMBERTO</t>
  </si>
  <si>
    <t>CF-110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</si>
</sst>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/mm/yyyy;@"/>
    <numFmt numFmtId="165" formatCode="0.0"/>
    <numFmt numFmtId="167" formatCode="_-* #,##0_-;\-* #,##0_-;_-* &quot;-&quot;??_-;_-@_-"/>
    <numFmt numFmtId="168" formatCode="dd/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0"/>
      <color theme="1"/>
      <name val="Arial"/>
      <family val="2"/>
    </font>
    <font>
      <b/>
      <sz val="13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quotePrefix="1" applyFont="1"/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2" fillId="3" borderId="0" xfId="0" applyFont="1" applyFill="1"/>
    <xf numFmtId="0" fontId="3" fillId="0" borderId="1" xfId="0" applyFont="1" applyBorder="1"/>
    <xf numFmtId="0" fontId="5" fillId="4" borderId="1" xfId="0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3" fillId="0" borderId="6" xfId="0" applyFont="1" applyBorder="1"/>
    <xf numFmtId="167" fontId="3" fillId="0" borderId="1" xfId="1" applyNumberFormat="1" applyFont="1" applyBorder="1"/>
    <xf numFmtId="167" fontId="3" fillId="0" borderId="7" xfId="1" applyNumberFormat="1" applyFont="1" applyBorder="1"/>
    <xf numFmtId="167" fontId="3" fillId="0" borderId="8" xfId="1" applyNumberFormat="1" applyFont="1" applyBorder="1"/>
    <xf numFmtId="167" fontId="8" fillId="0" borderId="8" xfId="1" applyNumberFormat="1" applyFont="1" applyBorder="1"/>
    <xf numFmtId="0" fontId="3" fillId="0" borderId="8" xfId="0" applyFont="1" applyBorder="1"/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9" xfId="0" applyFont="1" applyBorder="1"/>
    <xf numFmtId="167" fontId="3" fillId="0" borderId="10" xfId="1" applyNumberFormat="1" applyFont="1" applyBorder="1"/>
    <xf numFmtId="167" fontId="3" fillId="0" borderId="11" xfId="1" applyNumberFormat="1" applyFont="1" applyBorder="1"/>
    <xf numFmtId="164" fontId="3" fillId="0" borderId="1" xfId="0" applyNumberFormat="1" applyFont="1" applyBorder="1"/>
    <xf numFmtId="168" fontId="3" fillId="0" borderId="1" xfId="0" applyNumberFormat="1" applyFont="1" applyBorder="1"/>
    <xf numFmtId="0" fontId="3" fillId="0" borderId="11" xfId="0" applyFont="1" applyBorder="1"/>
    <xf numFmtId="0" fontId="3" fillId="0" borderId="10" xfId="0" applyFont="1" applyBorder="1"/>
    <xf numFmtId="0" fontId="4" fillId="0" borderId="11" xfId="0" applyFont="1" applyBorder="1"/>
  </cellXfs>
  <cellStyles count="2">
    <cellStyle name="Millares" xfId="1" builtinId="3"/>
    <cellStyle name="Normal" xfId="0" builtinId="0"/>
  </cellStyles>
  <dxfs count="12">
    <dxf>
      <font>
        <b/>
        <i val="0"/>
        <color theme="0"/>
      </font>
      <fill>
        <patternFill>
          <bgColor rgb="FFB40000"/>
        </patternFill>
      </fill>
    </dxf>
    <dxf>
      <font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C3F0C"/>
        </patternFill>
      </fill>
    </dxf>
    <dxf>
      <font>
        <b/>
        <i val="0"/>
      </font>
      <fill>
        <patternFill>
          <bgColor rgb="FFF66054"/>
        </patternFill>
      </fill>
    </dxf>
    <dxf>
      <font>
        <b/>
        <i val="0"/>
      </font>
      <fill>
        <patternFill>
          <bgColor rgb="FFD9EA36"/>
        </patternFill>
      </fill>
    </dxf>
    <dxf>
      <font>
        <b/>
        <i val="0"/>
        <color theme="0"/>
      </font>
      <fill>
        <patternFill>
          <bgColor rgb="FFD8930A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863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rhh\AppData\Local\Microsoft\Windows\INetCache\Content.Outlook\JT5CAE38\Asistencia%202026%20UN-227%20(20-03)PROYECTADA.xlsx" TargetMode="External"/><Relationship Id="rId1" Type="http://schemas.openxmlformats.org/officeDocument/2006/relationships/externalLinkPath" Target="file:///C:\Users\rrhh\AppData\Local\Microsoft\Windows\INetCache\Content.Outlook\JT5CAE38\Asistencia%202026%20UN-227%20(20-03)PROYECT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ISTENCIA"/>
      <sheetName val="TRATOS"/>
      <sheetName val="FINIQUITOS"/>
    </sheetNames>
    <sheetDataSet>
      <sheetData sheetId="0">
        <row r="1">
          <cell r="F1" t="str">
            <v>MARZO</v>
          </cell>
        </row>
        <row r="2">
          <cell r="A2" t="str">
            <v>UN-227  MARIMAURA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235C-F690-449F-85FC-98D9804707B8}">
  <dimension ref="A1:BO50"/>
  <sheetViews>
    <sheetView tabSelected="1" workbookViewId="0">
      <selection activeCell="B4" sqref="B4"/>
    </sheetView>
  </sheetViews>
  <sheetFormatPr baseColWidth="10" defaultColWidth="11" defaultRowHeight="13.8" x14ac:dyDescent="0.3"/>
  <cols>
    <col min="1" max="1" width="3.109375" style="2" customWidth="1"/>
    <col min="2" max="2" width="3.33203125" style="2" customWidth="1"/>
    <col min="3" max="3" width="6.109375" style="2" bestFit="1" customWidth="1"/>
    <col min="4" max="4" width="10.77734375" style="2" bestFit="1" customWidth="1"/>
    <col min="5" max="5" width="30.44140625" style="2" bestFit="1" customWidth="1"/>
    <col min="6" max="6" width="16.44140625" style="2" bestFit="1" customWidth="1"/>
    <col min="7" max="7" width="6.33203125" style="2" customWidth="1"/>
    <col min="8" max="8" width="8" style="2" customWidth="1"/>
    <col min="9" max="24" width="2.44140625" style="2" hidden="1" customWidth="1"/>
    <col min="25" max="46" width="2.44140625" style="2" customWidth="1"/>
    <col min="47" max="47" width="3.77734375" style="2" customWidth="1"/>
    <col min="48" max="48" width="3.21875" style="2" customWidth="1"/>
    <col min="49" max="49" width="3.109375" style="2" customWidth="1"/>
    <col min="50" max="51" width="3" style="2" customWidth="1"/>
    <col min="52" max="58" width="2.44140625" style="2" customWidth="1"/>
    <col min="59" max="59" width="3.77734375" style="2" customWidth="1"/>
    <col min="60" max="60" width="6" style="2" customWidth="1"/>
    <col min="61" max="61" width="8.6640625" style="2" customWidth="1"/>
    <col min="62" max="62" width="4.44140625" style="2" customWidth="1"/>
    <col min="63" max="63" width="7.77734375" style="2" customWidth="1"/>
    <col min="64" max="64" width="7.6640625" style="2" customWidth="1"/>
    <col min="65" max="65" width="7.44140625" style="2" customWidth="1"/>
    <col min="66" max="66" width="11.21875" style="2" customWidth="1"/>
    <col min="67" max="67" width="17.6640625" style="2" customWidth="1"/>
    <col min="68" max="16384" width="11" style="2"/>
  </cols>
  <sheetData>
    <row r="1" spans="1:67" ht="21" x14ac:dyDescent="0.4">
      <c r="A1" s="1" t="s">
        <v>0</v>
      </c>
      <c r="F1" s="3" t="str">
        <f>[1]ASISTENCIA!F1</f>
        <v>MARZO</v>
      </c>
      <c r="G1" s="3"/>
      <c r="H1" s="3">
        <v>2026</v>
      </c>
      <c r="BH1" s="2">
        <f>539000*0.0077777</f>
        <v>4192.1803</v>
      </c>
    </row>
    <row r="2" spans="1:67" ht="21" x14ac:dyDescent="0.4">
      <c r="A2" s="1" t="str">
        <f>[1]ASISTENCIA!A2</f>
        <v>UN-227  MARIMAURA</v>
      </c>
      <c r="C2" s="4"/>
      <c r="I2" s="5" t="s">
        <v>1</v>
      </c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  <c r="AG2" s="7"/>
      <c r="AH2" s="7"/>
      <c r="AI2" s="7"/>
      <c r="AJ2" s="7"/>
      <c r="AK2" s="7"/>
      <c r="AL2" s="7"/>
      <c r="AM2" s="8" t="str">
        <f>F1</f>
        <v>MARZO</v>
      </c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2" t="s">
        <v>2</v>
      </c>
      <c r="BM2" s="2">
        <v>410000</v>
      </c>
      <c r="BN2" s="2">
        <v>7.7777000000000002E-3</v>
      </c>
      <c r="BO2" s="2">
        <f>+BM2*BN2</f>
        <v>3188.857</v>
      </c>
    </row>
    <row r="3" spans="1:67" ht="18" x14ac:dyDescent="0.35">
      <c r="I3" s="9" t="s">
        <v>3</v>
      </c>
      <c r="J3" s="9" t="s">
        <v>4</v>
      </c>
      <c r="K3" s="9" t="s">
        <v>5</v>
      </c>
      <c r="L3" s="9" t="s">
        <v>6</v>
      </c>
      <c r="M3" s="9" t="s">
        <v>7</v>
      </c>
      <c r="N3" s="9" t="s">
        <v>8</v>
      </c>
      <c r="O3" s="9" t="s">
        <v>3</v>
      </c>
      <c r="P3" s="9" t="s">
        <v>3</v>
      </c>
      <c r="Q3" s="9" t="s">
        <v>4</v>
      </c>
      <c r="R3" s="9" t="s">
        <v>5</v>
      </c>
      <c r="S3" s="9" t="s">
        <v>6</v>
      </c>
      <c r="T3" s="9" t="s">
        <v>7</v>
      </c>
      <c r="U3" s="9" t="s">
        <v>8</v>
      </c>
      <c r="V3" s="9" t="s">
        <v>3</v>
      </c>
      <c r="W3" s="9" t="s">
        <v>3</v>
      </c>
      <c r="X3" s="9" t="s">
        <v>4</v>
      </c>
      <c r="Y3" s="10" t="s">
        <v>6</v>
      </c>
      <c r="Z3" s="10" t="s">
        <v>7</v>
      </c>
      <c r="AA3" s="10" t="s">
        <v>8</v>
      </c>
      <c r="AB3" s="10" t="s">
        <v>3</v>
      </c>
      <c r="AC3" s="10" t="s">
        <v>3</v>
      </c>
      <c r="AD3" s="10" t="s">
        <v>4</v>
      </c>
      <c r="AE3" s="10" t="s">
        <v>5</v>
      </c>
      <c r="AF3" s="10" t="s">
        <v>6</v>
      </c>
      <c r="AG3" s="10" t="s">
        <v>7</v>
      </c>
      <c r="AH3" s="10" t="s">
        <v>8</v>
      </c>
      <c r="AI3" s="10" t="s">
        <v>3</v>
      </c>
      <c r="AJ3" s="10" t="s">
        <v>3</v>
      </c>
      <c r="AK3" s="10" t="s">
        <v>4</v>
      </c>
      <c r="AL3" s="10" t="s">
        <v>5</v>
      </c>
      <c r="AM3" s="10" t="s">
        <v>6</v>
      </c>
      <c r="AN3" s="10" t="s">
        <v>7</v>
      </c>
      <c r="AO3" s="10" t="s">
        <v>8</v>
      </c>
      <c r="AP3" s="10" t="s">
        <v>3</v>
      </c>
      <c r="AQ3" s="10" t="s">
        <v>3</v>
      </c>
      <c r="AR3" s="10" t="s">
        <v>4</v>
      </c>
      <c r="AS3" s="10" t="s">
        <v>5</v>
      </c>
      <c r="AT3" s="10" t="s">
        <v>6</v>
      </c>
      <c r="AU3" s="10" t="s">
        <v>7</v>
      </c>
      <c r="AV3" s="10" t="s">
        <v>8</v>
      </c>
      <c r="AW3" s="10" t="s">
        <v>3</v>
      </c>
      <c r="AX3" s="10" t="s">
        <v>3</v>
      </c>
      <c r="AY3" s="10" t="s">
        <v>4</v>
      </c>
      <c r="AZ3" s="10" t="s">
        <v>5</v>
      </c>
      <c r="BA3" s="10" t="s">
        <v>6</v>
      </c>
      <c r="BB3" s="10"/>
      <c r="BC3" s="10"/>
      <c r="BD3" s="10"/>
      <c r="BE3" s="10"/>
      <c r="BF3" s="10"/>
      <c r="BG3" s="11" t="s">
        <v>9</v>
      </c>
      <c r="BH3" s="11"/>
      <c r="BI3" s="11"/>
      <c r="BJ3" s="11" t="s">
        <v>10</v>
      </c>
      <c r="BK3" s="11"/>
      <c r="BL3" s="11"/>
      <c r="BM3" s="12" t="s">
        <v>11</v>
      </c>
      <c r="BN3" s="13" t="s">
        <v>12</v>
      </c>
      <c r="BO3" s="12" t="s">
        <v>13</v>
      </c>
    </row>
    <row r="4" spans="1:67" ht="24.75" customHeight="1" x14ac:dyDescent="0.35">
      <c r="A4" s="14" t="s">
        <v>14</v>
      </c>
      <c r="B4" s="14" t="s">
        <v>15</v>
      </c>
      <c r="C4" s="14" t="s">
        <v>16</v>
      </c>
      <c r="D4" s="14" t="s">
        <v>17</v>
      </c>
      <c r="E4" s="14" t="s">
        <v>18</v>
      </c>
      <c r="F4" s="14" t="s">
        <v>19</v>
      </c>
      <c r="G4" s="14" t="s">
        <v>20</v>
      </c>
      <c r="H4" s="15" t="s">
        <v>21</v>
      </c>
      <c r="I4" s="16">
        <v>21</v>
      </c>
      <c r="J4" s="16">
        <v>22</v>
      </c>
      <c r="K4" s="16">
        <v>23</v>
      </c>
      <c r="L4" s="16">
        <v>24</v>
      </c>
      <c r="M4" s="16">
        <v>25</v>
      </c>
      <c r="N4" s="16">
        <v>26</v>
      </c>
      <c r="O4" s="16">
        <v>27</v>
      </c>
      <c r="P4" s="16">
        <v>28</v>
      </c>
      <c r="Q4" s="16">
        <v>29</v>
      </c>
      <c r="R4" s="16">
        <v>30</v>
      </c>
      <c r="S4" s="16">
        <v>31</v>
      </c>
      <c r="T4" s="16">
        <v>1</v>
      </c>
      <c r="U4" s="16">
        <v>2</v>
      </c>
      <c r="V4" s="16">
        <v>3</v>
      </c>
      <c r="W4" s="16">
        <v>4</v>
      </c>
      <c r="X4" s="16">
        <v>5</v>
      </c>
      <c r="Y4" s="16">
        <v>21</v>
      </c>
      <c r="Z4" s="16">
        <v>22</v>
      </c>
      <c r="AA4" s="16">
        <v>23</v>
      </c>
      <c r="AB4" s="16">
        <v>24</v>
      </c>
      <c r="AC4" s="16">
        <v>25</v>
      </c>
      <c r="AD4" s="16">
        <v>26</v>
      </c>
      <c r="AE4" s="16">
        <v>27</v>
      </c>
      <c r="AF4" s="16">
        <v>28</v>
      </c>
      <c r="AG4" s="16">
        <v>1</v>
      </c>
      <c r="AH4" s="16">
        <v>2</v>
      </c>
      <c r="AI4" s="16">
        <v>3</v>
      </c>
      <c r="AJ4" s="16">
        <v>4</v>
      </c>
      <c r="AK4" s="16">
        <v>5</v>
      </c>
      <c r="AL4" s="16">
        <v>6</v>
      </c>
      <c r="AM4" s="16">
        <v>7</v>
      </c>
      <c r="AN4" s="16">
        <v>8</v>
      </c>
      <c r="AO4" s="16">
        <v>9</v>
      </c>
      <c r="AP4" s="16">
        <v>10</v>
      </c>
      <c r="AQ4" s="16">
        <v>11</v>
      </c>
      <c r="AR4" s="16">
        <v>12</v>
      </c>
      <c r="AS4" s="16">
        <v>13</v>
      </c>
      <c r="AT4" s="16">
        <v>14</v>
      </c>
      <c r="AU4" s="16">
        <v>15</v>
      </c>
      <c r="AV4" s="16">
        <v>16</v>
      </c>
      <c r="AW4" s="16">
        <v>17</v>
      </c>
      <c r="AX4" s="16">
        <v>18</v>
      </c>
      <c r="AY4" s="16">
        <v>19</v>
      </c>
      <c r="AZ4" s="16">
        <v>20</v>
      </c>
      <c r="BA4" s="16">
        <v>21</v>
      </c>
      <c r="BB4" s="16"/>
      <c r="BC4" s="16"/>
      <c r="BD4" s="16"/>
      <c r="BE4" s="16"/>
      <c r="BF4" s="16"/>
      <c r="BG4" s="14" t="s">
        <v>22</v>
      </c>
      <c r="BH4" s="17" t="s">
        <v>23</v>
      </c>
      <c r="BI4" s="14" t="s">
        <v>24</v>
      </c>
      <c r="BJ4" s="14" t="s">
        <v>22</v>
      </c>
      <c r="BK4" s="14" t="s">
        <v>23</v>
      </c>
      <c r="BL4" s="14" t="s">
        <v>24</v>
      </c>
      <c r="BM4" s="18" t="s">
        <v>25</v>
      </c>
      <c r="BN4" s="19" t="s">
        <v>26</v>
      </c>
      <c r="BO4" s="18" t="s">
        <v>27</v>
      </c>
    </row>
    <row r="5" spans="1:67" ht="22.5" customHeight="1" x14ac:dyDescent="0.35">
      <c r="A5" s="20">
        <v>1</v>
      </c>
      <c r="B5" s="21">
        <v>227</v>
      </c>
      <c r="C5" s="21">
        <v>15635</v>
      </c>
      <c r="D5" s="21" t="s">
        <v>28</v>
      </c>
      <c r="E5" s="21" t="s">
        <v>29</v>
      </c>
      <c r="F5" s="21" t="s">
        <v>30</v>
      </c>
      <c r="G5" s="21" t="s">
        <v>31</v>
      </c>
      <c r="H5" s="22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 t="s">
        <v>32</v>
      </c>
      <c r="Z5" s="23" t="s">
        <v>32</v>
      </c>
      <c r="AA5" s="23">
        <v>2</v>
      </c>
      <c r="AB5" s="23">
        <v>2</v>
      </c>
      <c r="AC5" s="23">
        <v>4</v>
      </c>
      <c r="AD5" s="23">
        <v>2</v>
      </c>
      <c r="AE5" s="23">
        <v>3</v>
      </c>
      <c r="AF5" s="23" t="s">
        <v>32</v>
      </c>
      <c r="AG5" s="23" t="s">
        <v>32</v>
      </c>
      <c r="AH5" s="23">
        <v>2</v>
      </c>
      <c r="AI5" s="23">
        <v>2</v>
      </c>
      <c r="AJ5" s="23">
        <v>2</v>
      </c>
      <c r="AK5" s="23">
        <v>2</v>
      </c>
      <c r="AL5" s="23">
        <v>3</v>
      </c>
      <c r="AM5" s="23" t="s">
        <v>32</v>
      </c>
      <c r="AN5" s="23" t="s">
        <v>32</v>
      </c>
      <c r="AO5" s="23">
        <v>2</v>
      </c>
      <c r="AP5" s="23">
        <v>2</v>
      </c>
      <c r="AQ5" s="23">
        <v>2</v>
      </c>
      <c r="AR5" s="23">
        <v>2</v>
      </c>
      <c r="AS5" s="23">
        <v>3</v>
      </c>
      <c r="AT5" s="23" t="s">
        <v>32</v>
      </c>
      <c r="AU5" s="24" t="s">
        <v>32</v>
      </c>
      <c r="AV5" s="23">
        <v>2</v>
      </c>
      <c r="AW5" s="23">
        <v>2</v>
      </c>
      <c r="AX5" s="23">
        <v>3</v>
      </c>
      <c r="AY5" s="23"/>
      <c r="AZ5" s="23"/>
      <c r="BA5" s="23"/>
      <c r="BB5" s="23"/>
      <c r="BC5" s="23"/>
      <c r="BD5" s="23"/>
      <c r="BE5" s="23"/>
      <c r="BF5" s="23"/>
      <c r="BG5" s="25">
        <f t="shared" ref="BG5:BG49" si="0">SUMIF(I5:BF5,"&gt;0")</f>
        <v>42</v>
      </c>
      <c r="BH5" s="26">
        <v>4192.1803</v>
      </c>
      <c r="BI5" s="27">
        <f>ROUND(BG5*BH5,0)</f>
        <v>176072</v>
      </c>
      <c r="BJ5" s="25">
        <f t="shared" ref="BJ5:BJ49" si="1">COUNTIF(I5:BF5,"DT")</f>
        <v>8</v>
      </c>
      <c r="BK5" s="26">
        <v>35000</v>
      </c>
      <c r="BL5" s="27">
        <f>BJ5*BK5</f>
        <v>280000</v>
      </c>
      <c r="BM5" s="28"/>
      <c r="BN5" s="29">
        <f>+BI5+BL5+BM5</f>
        <v>456072</v>
      </c>
      <c r="BO5" s="30" t="s">
        <v>33</v>
      </c>
    </row>
    <row r="6" spans="1:67" ht="22.5" customHeight="1" x14ac:dyDescent="0.35">
      <c r="A6" s="20">
        <v>2</v>
      </c>
      <c r="B6" s="21">
        <v>227</v>
      </c>
      <c r="C6" s="31">
        <v>15648</v>
      </c>
      <c r="D6" s="31" t="s">
        <v>34</v>
      </c>
      <c r="E6" s="21" t="s">
        <v>35</v>
      </c>
      <c r="F6" s="31" t="s">
        <v>36</v>
      </c>
      <c r="G6" s="31" t="s">
        <v>37</v>
      </c>
      <c r="H6" s="32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>
        <v>1</v>
      </c>
      <c r="AB6" s="23">
        <v>1</v>
      </c>
      <c r="AC6" s="23">
        <v>1</v>
      </c>
      <c r="AD6" s="23">
        <v>1</v>
      </c>
      <c r="AE6" s="23">
        <v>1</v>
      </c>
      <c r="AF6" s="23"/>
      <c r="AG6" s="23"/>
      <c r="AH6" s="23">
        <v>1</v>
      </c>
      <c r="AI6" s="23">
        <v>1</v>
      </c>
      <c r="AJ6" s="23">
        <v>1</v>
      </c>
      <c r="AK6" s="23">
        <v>1</v>
      </c>
      <c r="AL6" s="23">
        <v>1</v>
      </c>
      <c r="AM6" s="23"/>
      <c r="AN6" s="23"/>
      <c r="AO6" s="23">
        <v>1</v>
      </c>
      <c r="AP6" s="23">
        <v>1</v>
      </c>
      <c r="AQ6" s="23">
        <v>1</v>
      </c>
      <c r="AR6" s="23">
        <v>1</v>
      </c>
      <c r="AS6" s="23">
        <v>1</v>
      </c>
      <c r="AT6" s="23"/>
      <c r="AU6" s="23"/>
      <c r="AV6" s="23">
        <v>1</v>
      </c>
      <c r="AW6" s="23">
        <v>1</v>
      </c>
      <c r="AX6" s="23">
        <v>1</v>
      </c>
      <c r="AY6" s="23">
        <v>1</v>
      </c>
      <c r="AZ6" s="23">
        <v>1</v>
      </c>
      <c r="BA6" s="23"/>
      <c r="BB6" s="23"/>
      <c r="BC6" s="23"/>
      <c r="BD6" s="23"/>
      <c r="BE6" s="23"/>
      <c r="BF6" s="23"/>
      <c r="BG6" s="33">
        <f t="shared" si="0"/>
        <v>20</v>
      </c>
      <c r="BH6" s="26">
        <v>4192.1803</v>
      </c>
      <c r="BI6" s="34">
        <f t="shared" ref="BI6:BI49" si="2">ROUND(BG6*BH6,0)</f>
        <v>83844</v>
      </c>
      <c r="BJ6" s="33">
        <f t="shared" si="1"/>
        <v>0</v>
      </c>
      <c r="BK6" s="26">
        <v>35000</v>
      </c>
      <c r="BL6" s="27">
        <f t="shared" ref="BL6:BL49" si="3">BJ6*BK6</f>
        <v>0</v>
      </c>
      <c r="BM6" s="35">
        <v>180000</v>
      </c>
      <c r="BN6" s="29">
        <f t="shared" ref="BN6:BN49" si="4">+BI6+BL6+BM6</f>
        <v>263844</v>
      </c>
      <c r="BO6" s="30" t="s">
        <v>38</v>
      </c>
    </row>
    <row r="7" spans="1:67" ht="22.5" customHeight="1" x14ac:dyDescent="0.35">
      <c r="A7" s="20">
        <v>3</v>
      </c>
      <c r="B7" s="21">
        <v>227</v>
      </c>
      <c r="C7" s="31">
        <v>14385</v>
      </c>
      <c r="D7" s="31" t="s">
        <v>39</v>
      </c>
      <c r="E7" s="31" t="s">
        <v>40</v>
      </c>
      <c r="F7" s="31" t="s">
        <v>36</v>
      </c>
      <c r="G7" s="31" t="s">
        <v>41</v>
      </c>
      <c r="H7" s="3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>
        <v>1</v>
      </c>
      <c r="AB7" s="23">
        <v>1</v>
      </c>
      <c r="AC7" s="23">
        <v>1</v>
      </c>
      <c r="AD7" s="23">
        <v>1</v>
      </c>
      <c r="AE7" s="23">
        <v>1</v>
      </c>
      <c r="AF7" s="23"/>
      <c r="AG7" s="23"/>
      <c r="AH7" s="23">
        <v>1</v>
      </c>
      <c r="AI7" s="23">
        <v>1</v>
      </c>
      <c r="AJ7" s="23">
        <v>1</v>
      </c>
      <c r="AK7" s="23">
        <v>1</v>
      </c>
      <c r="AL7" s="23">
        <v>1</v>
      </c>
      <c r="AM7" s="23"/>
      <c r="AN7" s="23"/>
      <c r="AO7" s="23">
        <v>1</v>
      </c>
      <c r="AP7" s="23">
        <v>1</v>
      </c>
      <c r="AQ7" s="23">
        <v>1</v>
      </c>
      <c r="AR7" s="23">
        <v>1</v>
      </c>
      <c r="AS7" s="23">
        <v>1</v>
      </c>
      <c r="AT7" s="23"/>
      <c r="AU7" s="23"/>
      <c r="AV7" s="23">
        <v>1</v>
      </c>
      <c r="AW7" s="23">
        <v>1</v>
      </c>
      <c r="AX7" s="23">
        <v>1</v>
      </c>
      <c r="AY7" s="23">
        <v>1</v>
      </c>
      <c r="AZ7" s="23">
        <v>1</v>
      </c>
      <c r="BA7" s="23"/>
      <c r="BB7" s="23"/>
      <c r="BC7" s="23"/>
      <c r="BD7" s="23"/>
      <c r="BE7" s="23"/>
      <c r="BF7" s="23"/>
      <c r="BG7" s="33">
        <f t="shared" si="0"/>
        <v>20</v>
      </c>
      <c r="BH7" s="26">
        <v>4192.1803</v>
      </c>
      <c r="BI7" s="34">
        <f t="shared" si="2"/>
        <v>83844</v>
      </c>
      <c r="BJ7" s="33">
        <f t="shared" si="1"/>
        <v>0</v>
      </c>
      <c r="BK7" s="26">
        <v>35000</v>
      </c>
      <c r="BL7" s="27">
        <f t="shared" si="3"/>
        <v>0</v>
      </c>
      <c r="BM7" s="35"/>
      <c r="BN7" s="29">
        <f t="shared" si="4"/>
        <v>83844</v>
      </c>
      <c r="BO7" s="30" t="s">
        <v>42</v>
      </c>
    </row>
    <row r="8" spans="1:67" ht="22.5" customHeight="1" x14ac:dyDescent="0.35">
      <c r="A8" s="20">
        <v>4</v>
      </c>
      <c r="B8" s="21">
        <v>227</v>
      </c>
      <c r="C8" s="9">
        <v>15636</v>
      </c>
      <c r="D8" s="9" t="s">
        <v>43</v>
      </c>
      <c r="E8" s="9" t="s">
        <v>44</v>
      </c>
      <c r="F8" s="9" t="s">
        <v>36</v>
      </c>
      <c r="G8" s="9" t="s">
        <v>41</v>
      </c>
      <c r="H8" s="36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>
        <v>1</v>
      </c>
      <c r="AB8" s="23">
        <v>1</v>
      </c>
      <c r="AC8" s="23">
        <v>1</v>
      </c>
      <c r="AD8" s="23">
        <v>1</v>
      </c>
      <c r="AE8" s="23">
        <v>1</v>
      </c>
      <c r="AF8" s="23"/>
      <c r="AG8" s="23"/>
      <c r="AH8" s="23">
        <v>1</v>
      </c>
      <c r="AI8" s="23">
        <v>1</v>
      </c>
      <c r="AJ8" s="23">
        <v>1</v>
      </c>
      <c r="AK8" s="23">
        <v>1</v>
      </c>
      <c r="AL8" s="23">
        <v>1</v>
      </c>
      <c r="AM8" s="23"/>
      <c r="AN8" s="23"/>
      <c r="AO8" s="23">
        <v>1</v>
      </c>
      <c r="AP8" s="23">
        <v>1</v>
      </c>
      <c r="AQ8" s="23">
        <v>1</v>
      </c>
      <c r="AR8" s="23">
        <v>1</v>
      </c>
      <c r="AS8" s="23">
        <v>1</v>
      </c>
      <c r="AT8" s="23"/>
      <c r="AU8" s="23"/>
      <c r="AV8" s="23">
        <v>1</v>
      </c>
      <c r="AW8" s="23">
        <v>1</v>
      </c>
      <c r="AX8" s="23">
        <v>1</v>
      </c>
      <c r="AY8" s="23">
        <v>1</v>
      </c>
      <c r="AZ8" s="23">
        <v>1</v>
      </c>
      <c r="BA8" s="23"/>
      <c r="BB8" s="23"/>
      <c r="BC8" s="23"/>
      <c r="BD8" s="23"/>
      <c r="BE8" s="23"/>
      <c r="BF8" s="23"/>
      <c r="BG8" s="33">
        <f t="shared" si="0"/>
        <v>20</v>
      </c>
      <c r="BH8" s="26">
        <v>4192.1803</v>
      </c>
      <c r="BI8" s="34">
        <f t="shared" si="2"/>
        <v>83844</v>
      </c>
      <c r="BJ8" s="33">
        <f t="shared" si="1"/>
        <v>0</v>
      </c>
      <c r="BK8" s="26">
        <v>35000</v>
      </c>
      <c r="BL8" s="27">
        <f t="shared" si="3"/>
        <v>0</v>
      </c>
      <c r="BM8" s="35"/>
      <c r="BN8" s="29">
        <f t="shared" si="4"/>
        <v>83844</v>
      </c>
      <c r="BO8" s="30" t="s">
        <v>45</v>
      </c>
    </row>
    <row r="9" spans="1:67" ht="22.5" customHeight="1" x14ac:dyDescent="0.35">
      <c r="A9" s="20">
        <v>5</v>
      </c>
      <c r="B9" s="21">
        <v>227</v>
      </c>
      <c r="C9" s="9">
        <v>15795</v>
      </c>
      <c r="D9" s="9" t="s">
        <v>46</v>
      </c>
      <c r="E9" s="9" t="s">
        <v>47</v>
      </c>
      <c r="F9" s="9" t="s">
        <v>36</v>
      </c>
      <c r="G9" s="9" t="s">
        <v>48</v>
      </c>
      <c r="H9" s="3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>
        <v>1</v>
      </c>
      <c r="AB9" s="23">
        <v>1</v>
      </c>
      <c r="AC9" s="23">
        <v>1</v>
      </c>
      <c r="AD9" s="23">
        <v>1</v>
      </c>
      <c r="AE9" s="23">
        <v>1</v>
      </c>
      <c r="AF9" s="23"/>
      <c r="AG9" s="23"/>
      <c r="AH9" s="23">
        <v>1</v>
      </c>
      <c r="AI9" s="23">
        <v>1</v>
      </c>
      <c r="AJ9" s="23">
        <v>1</v>
      </c>
      <c r="AK9" s="23">
        <v>1</v>
      </c>
      <c r="AL9" s="23">
        <v>1</v>
      </c>
      <c r="AM9" s="23"/>
      <c r="AN9" s="23"/>
      <c r="AO9" s="23">
        <v>1</v>
      </c>
      <c r="AP9" s="23">
        <v>1</v>
      </c>
      <c r="AQ9" s="23">
        <v>1</v>
      </c>
      <c r="AR9" s="23">
        <v>1</v>
      </c>
      <c r="AS9" s="23">
        <v>1</v>
      </c>
      <c r="AT9" s="23"/>
      <c r="AU9" s="23"/>
      <c r="AV9" s="23">
        <v>1</v>
      </c>
      <c r="AW9" s="23">
        <v>1</v>
      </c>
      <c r="AX9" s="23">
        <v>1</v>
      </c>
      <c r="AY9" s="23">
        <v>1</v>
      </c>
      <c r="AZ9" s="23">
        <v>1</v>
      </c>
      <c r="BA9" s="23"/>
      <c r="BB9" s="23"/>
      <c r="BC9" s="23"/>
      <c r="BD9" s="23"/>
      <c r="BE9" s="23"/>
      <c r="BF9" s="23"/>
      <c r="BG9" s="33">
        <f t="shared" si="0"/>
        <v>20</v>
      </c>
      <c r="BH9" s="26">
        <v>4192.1803</v>
      </c>
      <c r="BI9" s="34">
        <f t="shared" si="2"/>
        <v>83844</v>
      </c>
      <c r="BJ9" s="33">
        <f t="shared" si="1"/>
        <v>0</v>
      </c>
      <c r="BK9" s="26">
        <v>30000</v>
      </c>
      <c r="BL9" s="27">
        <f t="shared" si="3"/>
        <v>0</v>
      </c>
      <c r="BM9" s="35"/>
      <c r="BN9" s="29">
        <f t="shared" si="4"/>
        <v>83844</v>
      </c>
      <c r="BO9" s="30" t="s">
        <v>42</v>
      </c>
    </row>
    <row r="10" spans="1:67" ht="22.5" customHeight="1" x14ac:dyDescent="0.35">
      <c r="A10" s="20">
        <v>6</v>
      </c>
      <c r="B10" s="21">
        <v>227</v>
      </c>
      <c r="C10" s="9">
        <v>15649</v>
      </c>
      <c r="D10" s="9" t="s">
        <v>49</v>
      </c>
      <c r="E10" s="9" t="s">
        <v>50</v>
      </c>
      <c r="F10" s="9" t="s">
        <v>36</v>
      </c>
      <c r="G10" s="9" t="s">
        <v>37</v>
      </c>
      <c r="H10" s="36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>
        <v>1</v>
      </c>
      <c r="AB10" s="23">
        <v>1</v>
      </c>
      <c r="AC10" s="23">
        <v>1</v>
      </c>
      <c r="AD10" s="23">
        <v>1</v>
      </c>
      <c r="AE10" s="23">
        <v>1</v>
      </c>
      <c r="AF10" s="23"/>
      <c r="AG10" s="23"/>
      <c r="AH10" s="23">
        <v>1</v>
      </c>
      <c r="AI10" s="23">
        <v>1</v>
      </c>
      <c r="AJ10" s="23">
        <v>1</v>
      </c>
      <c r="AK10" s="23">
        <v>1</v>
      </c>
      <c r="AL10" s="23">
        <v>1</v>
      </c>
      <c r="AM10" s="23"/>
      <c r="AN10" s="23"/>
      <c r="AO10" s="23">
        <v>1</v>
      </c>
      <c r="AP10" s="23">
        <v>1</v>
      </c>
      <c r="AQ10" s="23">
        <v>1</v>
      </c>
      <c r="AR10" s="23">
        <v>1</v>
      </c>
      <c r="AS10" s="23">
        <v>1</v>
      </c>
      <c r="AT10" s="23"/>
      <c r="AU10" s="23"/>
      <c r="AV10" s="23">
        <v>1</v>
      </c>
      <c r="AW10" s="23">
        <v>1</v>
      </c>
      <c r="AX10" s="23">
        <v>1</v>
      </c>
      <c r="AY10" s="23">
        <v>1</v>
      </c>
      <c r="AZ10" s="23">
        <v>1</v>
      </c>
      <c r="BA10" s="23"/>
      <c r="BB10" s="23"/>
      <c r="BC10" s="23"/>
      <c r="BD10" s="23"/>
      <c r="BE10" s="23"/>
      <c r="BF10" s="23"/>
      <c r="BG10" s="33">
        <f t="shared" si="0"/>
        <v>20</v>
      </c>
      <c r="BH10" s="26">
        <v>4192.1803</v>
      </c>
      <c r="BI10" s="34">
        <f t="shared" si="2"/>
        <v>83844</v>
      </c>
      <c r="BJ10" s="33">
        <f t="shared" si="1"/>
        <v>0</v>
      </c>
      <c r="BK10" s="26">
        <v>35000</v>
      </c>
      <c r="BL10" s="27">
        <f t="shared" si="3"/>
        <v>0</v>
      </c>
      <c r="BM10" s="35">
        <v>180000</v>
      </c>
      <c r="BN10" s="29">
        <f t="shared" si="4"/>
        <v>263844</v>
      </c>
      <c r="BO10" s="30" t="s">
        <v>51</v>
      </c>
    </row>
    <row r="11" spans="1:67" ht="22.5" customHeight="1" x14ac:dyDescent="0.35">
      <c r="A11" s="20">
        <v>7</v>
      </c>
      <c r="B11" s="21">
        <v>227</v>
      </c>
      <c r="C11" s="9">
        <v>15647</v>
      </c>
      <c r="D11" s="9" t="s">
        <v>52</v>
      </c>
      <c r="E11" s="31" t="s">
        <v>53</v>
      </c>
      <c r="F11" s="31" t="s">
        <v>36</v>
      </c>
      <c r="G11" s="9" t="s">
        <v>48</v>
      </c>
      <c r="H11" s="36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>
        <v>1</v>
      </c>
      <c r="AB11" s="23">
        <v>1</v>
      </c>
      <c r="AC11" s="23">
        <v>1</v>
      </c>
      <c r="AD11" s="23">
        <v>1</v>
      </c>
      <c r="AE11" s="23">
        <v>1</v>
      </c>
      <c r="AF11" s="23"/>
      <c r="AG11" s="23"/>
      <c r="AH11" s="23">
        <v>1</v>
      </c>
      <c r="AI11" s="23">
        <v>1</v>
      </c>
      <c r="AJ11" s="23">
        <v>1</v>
      </c>
      <c r="AK11" s="23">
        <v>1</v>
      </c>
      <c r="AL11" s="23">
        <v>1</v>
      </c>
      <c r="AM11" s="23"/>
      <c r="AN11" s="23"/>
      <c r="AO11" s="23">
        <v>1</v>
      </c>
      <c r="AP11" s="23">
        <v>1</v>
      </c>
      <c r="AQ11" s="23">
        <v>1</v>
      </c>
      <c r="AR11" s="23">
        <v>1</v>
      </c>
      <c r="AS11" s="23">
        <v>1</v>
      </c>
      <c r="AT11" s="23"/>
      <c r="AU11" s="23"/>
      <c r="AV11" s="23">
        <v>1</v>
      </c>
      <c r="AW11" s="23">
        <v>1</v>
      </c>
      <c r="AX11" s="23">
        <v>1</v>
      </c>
      <c r="AY11" s="23">
        <v>1</v>
      </c>
      <c r="AZ11" s="23">
        <v>1</v>
      </c>
      <c r="BA11" s="23"/>
      <c r="BB11" s="23"/>
      <c r="BC11" s="23"/>
      <c r="BD11" s="23"/>
      <c r="BE11" s="23"/>
      <c r="BF11" s="23"/>
      <c r="BG11" s="33">
        <f t="shared" si="0"/>
        <v>20</v>
      </c>
      <c r="BH11" s="26">
        <v>4192.1803</v>
      </c>
      <c r="BI11" s="34">
        <f t="shared" si="2"/>
        <v>83844</v>
      </c>
      <c r="BJ11" s="33">
        <f t="shared" si="1"/>
        <v>0</v>
      </c>
      <c r="BK11" s="26">
        <v>35000</v>
      </c>
      <c r="BL11" s="27">
        <f t="shared" si="3"/>
        <v>0</v>
      </c>
      <c r="BM11" s="35"/>
      <c r="BN11" s="29">
        <f t="shared" si="4"/>
        <v>83844</v>
      </c>
      <c r="BO11" s="30" t="s">
        <v>42</v>
      </c>
    </row>
    <row r="12" spans="1:67" ht="22.5" customHeight="1" x14ac:dyDescent="0.35">
      <c r="A12" s="20">
        <v>8</v>
      </c>
      <c r="B12" s="21">
        <v>227</v>
      </c>
      <c r="C12" s="9">
        <v>15650</v>
      </c>
      <c r="D12" s="9" t="s">
        <v>54</v>
      </c>
      <c r="E12" s="9" t="s">
        <v>55</v>
      </c>
      <c r="F12" s="9" t="s">
        <v>56</v>
      </c>
      <c r="G12" s="9" t="s">
        <v>57</v>
      </c>
      <c r="H12" s="37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>
        <v>1</v>
      </c>
      <c r="AI12" s="23">
        <v>1</v>
      </c>
      <c r="AJ12" s="23">
        <v>1</v>
      </c>
      <c r="AK12" s="23"/>
      <c r="AL12" s="23"/>
      <c r="AM12" s="23"/>
      <c r="AN12" s="23"/>
      <c r="AO12" s="23"/>
      <c r="AP12" s="23">
        <v>1</v>
      </c>
      <c r="AQ12" s="23">
        <v>1</v>
      </c>
      <c r="AR12" s="23">
        <v>1</v>
      </c>
      <c r="AS12" s="23"/>
      <c r="AT12" s="23"/>
      <c r="AU12" s="23"/>
      <c r="AV12" s="23"/>
      <c r="AW12" s="23">
        <v>1</v>
      </c>
      <c r="AX12" s="23">
        <v>1</v>
      </c>
      <c r="AY12" s="23"/>
      <c r="AZ12" s="23"/>
      <c r="BA12" s="23"/>
      <c r="BB12" s="23"/>
      <c r="BC12" s="23"/>
      <c r="BD12" s="23"/>
      <c r="BE12" s="23"/>
      <c r="BF12" s="23"/>
      <c r="BG12" s="33">
        <f t="shared" si="0"/>
        <v>8</v>
      </c>
      <c r="BH12" s="26">
        <v>4192.1803</v>
      </c>
      <c r="BI12" s="34">
        <f t="shared" si="2"/>
        <v>33537</v>
      </c>
      <c r="BJ12" s="33">
        <f t="shared" si="1"/>
        <v>0</v>
      </c>
      <c r="BK12" s="26">
        <v>35000</v>
      </c>
      <c r="BL12" s="27">
        <f t="shared" si="3"/>
        <v>0</v>
      </c>
      <c r="BM12" s="35">
        <v>0</v>
      </c>
      <c r="BN12" s="29">
        <f t="shared" si="4"/>
        <v>33537</v>
      </c>
      <c r="BO12" s="38" t="s">
        <v>58</v>
      </c>
    </row>
    <row r="13" spans="1:67" ht="22.5" customHeight="1" x14ac:dyDescent="0.35">
      <c r="A13" s="20">
        <v>9</v>
      </c>
      <c r="B13" s="21">
        <v>227</v>
      </c>
      <c r="C13" s="9">
        <v>15794</v>
      </c>
      <c r="D13" s="9" t="s">
        <v>59</v>
      </c>
      <c r="E13" s="9" t="s">
        <v>60</v>
      </c>
      <c r="F13" s="9" t="s">
        <v>61</v>
      </c>
      <c r="G13" s="9"/>
      <c r="H13" s="37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 t="s">
        <v>32</v>
      </c>
      <c r="Z13" s="23"/>
      <c r="AA13" s="23">
        <v>2</v>
      </c>
      <c r="AB13" s="23">
        <v>2</v>
      </c>
      <c r="AC13" s="23">
        <v>2</v>
      </c>
      <c r="AD13" s="23">
        <v>2</v>
      </c>
      <c r="AE13" s="23">
        <v>2</v>
      </c>
      <c r="AF13" s="23"/>
      <c r="AG13" s="23" t="s">
        <v>32</v>
      </c>
      <c r="AH13" s="23"/>
      <c r="AI13" s="23"/>
      <c r="AJ13" s="23"/>
      <c r="AK13" s="23"/>
      <c r="AL13" s="23"/>
      <c r="AM13" s="23"/>
      <c r="AN13" s="23" t="s">
        <v>32</v>
      </c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33">
        <f t="shared" si="0"/>
        <v>10</v>
      </c>
      <c r="BH13" s="26">
        <v>4192.1803</v>
      </c>
      <c r="BI13" s="34">
        <f t="shared" si="2"/>
        <v>41922</v>
      </c>
      <c r="BJ13" s="33">
        <f t="shared" si="1"/>
        <v>3</v>
      </c>
      <c r="BK13" s="26">
        <v>35000</v>
      </c>
      <c r="BL13" s="27">
        <f t="shared" si="3"/>
        <v>105000</v>
      </c>
      <c r="BM13" s="35">
        <v>120000</v>
      </c>
      <c r="BN13" s="29">
        <f t="shared" si="4"/>
        <v>266922</v>
      </c>
      <c r="BO13" s="38" t="s">
        <v>62</v>
      </c>
    </row>
    <row r="14" spans="1:67" ht="22.5" customHeight="1" x14ac:dyDescent="0.35">
      <c r="A14" s="20">
        <v>10</v>
      </c>
      <c r="B14" s="21">
        <v>227</v>
      </c>
      <c r="C14" s="9">
        <v>15665</v>
      </c>
      <c r="D14" s="9" t="s">
        <v>63</v>
      </c>
      <c r="E14" s="9" t="s">
        <v>64</v>
      </c>
      <c r="F14" s="9"/>
      <c r="G14" s="9"/>
      <c r="H14" s="37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 t="s">
        <v>32</v>
      </c>
      <c r="AA14" s="23"/>
      <c r="AB14" s="23"/>
      <c r="AC14" s="23"/>
      <c r="AD14" s="23"/>
      <c r="AE14" s="23"/>
      <c r="AF14" s="23" t="s">
        <v>32</v>
      </c>
      <c r="AG14" s="23"/>
      <c r="AH14" s="23"/>
      <c r="AI14" s="23"/>
      <c r="AJ14" s="23"/>
      <c r="AK14" s="23"/>
      <c r="AL14" s="23"/>
      <c r="AM14" s="23" t="s">
        <v>32</v>
      </c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33">
        <f t="shared" si="0"/>
        <v>0</v>
      </c>
      <c r="BH14" s="26">
        <v>4192.1803</v>
      </c>
      <c r="BI14" s="34">
        <f t="shared" si="2"/>
        <v>0</v>
      </c>
      <c r="BJ14" s="33">
        <f t="shared" si="1"/>
        <v>3</v>
      </c>
      <c r="BK14" s="26">
        <v>35000</v>
      </c>
      <c r="BL14" s="27">
        <f t="shared" si="3"/>
        <v>105000</v>
      </c>
      <c r="BM14" s="35"/>
      <c r="BN14" s="29">
        <f t="shared" si="4"/>
        <v>105000</v>
      </c>
      <c r="BO14" s="38" t="s">
        <v>65</v>
      </c>
    </row>
    <row r="15" spans="1:67" ht="22.5" customHeight="1" x14ac:dyDescent="0.35">
      <c r="A15" s="20">
        <v>11</v>
      </c>
      <c r="B15" s="21">
        <v>227</v>
      </c>
      <c r="C15" s="9">
        <v>15901</v>
      </c>
      <c r="D15" s="9" t="s">
        <v>66</v>
      </c>
      <c r="E15" s="9" t="s">
        <v>67</v>
      </c>
      <c r="F15" s="9" t="s">
        <v>68</v>
      </c>
      <c r="G15" s="9"/>
      <c r="H15" s="37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 t="s">
        <v>32</v>
      </c>
      <c r="Z15" s="23" t="s">
        <v>32</v>
      </c>
      <c r="AA15" s="23"/>
      <c r="AB15" s="23"/>
      <c r="AC15" s="23"/>
      <c r="AD15" s="23"/>
      <c r="AE15" s="23"/>
      <c r="AF15" s="23" t="s">
        <v>32</v>
      </c>
      <c r="AG15" s="23" t="s">
        <v>32</v>
      </c>
      <c r="AH15" s="23"/>
      <c r="AI15" s="23"/>
      <c r="AJ15" s="23"/>
      <c r="AK15" s="23"/>
      <c r="AL15" s="23"/>
      <c r="AM15" s="23" t="s">
        <v>32</v>
      </c>
      <c r="AN15" s="23" t="s">
        <v>32</v>
      </c>
      <c r="AO15" s="23"/>
      <c r="AP15" s="23"/>
      <c r="AQ15" s="23"/>
      <c r="AR15" s="23"/>
      <c r="AS15" s="23"/>
      <c r="AT15" s="23" t="s">
        <v>32</v>
      </c>
      <c r="AU15" s="23" t="s">
        <v>32</v>
      </c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33">
        <f t="shared" si="0"/>
        <v>0</v>
      </c>
      <c r="BH15" s="26">
        <v>4192.1803</v>
      </c>
      <c r="BI15" s="34">
        <f t="shared" si="2"/>
        <v>0</v>
      </c>
      <c r="BJ15" s="33">
        <f t="shared" si="1"/>
        <v>8</v>
      </c>
      <c r="BK15" s="26">
        <v>35000</v>
      </c>
      <c r="BL15" s="27">
        <f t="shared" si="3"/>
        <v>280000</v>
      </c>
      <c r="BM15" s="35"/>
      <c r="BN15" s="29">
        <f t="shared" si="4"/>
        <v>280000</v>
      </c>
      <c r="BO15" s="38" t="s">
        <v>69</v>
      </c>
    </row>
    <row r="16" spans="1:67" ht="22.5" customHeight="1" x14ac:dyDescent="0.35">
      <c r="A16" s="20">
        <v>13</v>
      </c>
      <c r="B16" s="21">
        <v>227</v>
      </c>
      <c r="C16" s="9">
        <v>16091</v>
      </c>
      <c r="D16" s="9" t="s">
        <v>70</v>
      </c>
      <c r="E16" s="9" t="s">
        <v>71</v>
      </c>
      <c r="F16" s="9" t="s">
        <v>72</v>
      </c>
      <c r="G16" s="9" t="s">
        <v>73</v>
      </c>
      <c r="H16" s="37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>
        <v>2</v>
      </c>
      <c r="AM16" s="23" t="s">
        <v>32</v>
      </c>
      <c r="AN16" s="23" t="s">
        <v>32</v>
      </c>
      <c r="AO16" s="23">
        <v>1</v>
      </c>
      <c r="AP16" s="23">
        <v>1</v>
      </c>
      <c r="AQ16" s="23">
        <v>1</v>
      </c>
      <c r="AR16" s="23">
        <v>1</v>
      </c>
      <c r="AS16" s="23">
        <v>2</v>
      </c>
      <c r="AT16" s="23" t="s">
        <v>32</v>
      </c>
      <c r="AU16" s="23" t="s">
        <v>32</v>
      </c>
      <c r="AV16" s="23">
        <v>1</v>
      </c>
      <c r="AW16" s="23">
        <v>1</v>
      </c>
      <c r="AX16" s="23">
        <v>1</v>
      </c>
      <c r="AY16" s="23">
        <v>1</v>
      </c>
      <c r="AZ16" s="23">
        <v>2</v>
      </c>
      <c r="BA16" s="23" t="s">
        <v>32</v>
      </c>
      <c r="BB16" s="23"/>
      <c r="BC16" s="23"/>
      <c r="BD16" s="23"/>
      <c r="BE16" s="23"/>
      <c r="BF16" s="23"/>
      <c r="BG16" s="33">
        <f t="shared" si="0"/>
        <v>14</v>
      </c>
      <c r="BH16" s="26">
        <v>4192.1803</v>
      </c>
      <c r="BI16" s="34">
        <f t="shared" si="2"/>
        <v>58691</v>
      </c>
      <c r="BJ16" s="33">
        <f t="shared" si="1"/>
        <v>5</v>
      </c>
      <c r="BK16" s="26">
        <v>35000</v>
      </c>
      <c r="BL16" s="27">
        <f t="shared" si="3"/>
        <v>175000</v>
      </c>
      <c r="BM16" s="35"/>
      <c r="BN16" s="29">
        <f t="shared" si="4"/>
        <v>233691</v>
      </c>
      <c r="BO16" s="38" t="s">
        <v>74</v>
      </c>
    </row>
    <row r="17" spans="1:67" ht="22.5" customHeight="1" x14ac:dyDescent="0.35">
      <c r="A17" s="20">
        <v>13</v>
      </c>
      <c r="B17" s="21">
        <v>227</v>
      </c>
      <c r="C17" s="9">
        <v>16092</v>
      </c>
      <c r="D17" s="9" t="s">
        <v>75</v>
      </c>
      <c r="E17" s="9" t="s">
        <v>76</v>
      </c>
      <c r="F17" s="9" t="s">
        <v>72</v>
      </c>
      <c r="G17" s="9" t="s">
        <v>73</v>
      </c>
      <c r="H17" s="37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 t="s">
        <v>32</v>
      </c>
      <c r="AN17" s="23" t="s">
        <v>32</v>
      </c>
      <c r="AO17" s="23"/>
      <c r="AP17" s="23"/>
      <c r="AQ17" s="23">
        <v>1</v>
      </c>
      <c r="AR17" s="23">
        <v>1</v>
      </c>
      <c r="AS17" s="23">
        <v>2</v>
      </c>
      <c r="AT17" s="23" t="s">
        <v>32</v>
      </c>
      <c r="AU17" s="23" t="s">
        <v>32</v>
      </c>
      <c r="AV17" s="23"/>
      <c r="AW17" s="23">
        <v>1</v>
      </c>
      <c r="AX17" s="23">
        <v>1</v>
      </c>
      <c r="AY17" s="23">
        <v>1</v>
      </c>
      <c r="AZ17" s="23">
        <v>2</v>
      </c>
      <c r="BA17" s="23" t="s">
        <v>32</v>
      </c>
      <c r="BB17" s="23"/>
      <c r="BC17" s="23"/>
      <c r="BD17" s="23"/>
      <c r="BE17" s="23"/>
      <c r="BF17" s="23"/>
      <c r="BG17" s="33">
        <f t="shared" si="0"/>
        <v>9</v>
      </c>
      <c r="BH17" s="26">
        <v>4192.1803</v>
      </c>
      <c r="BI17" s="34">
        <f t="shared" si="2"/>
        <v>37730</v>
      </c>
      <c r="BJ17" s="33">
        <f t="shared" si="1"/>
        <v>5</v>
      </c>
      <c r="BK17" s="26">
        <v>35000</v>
      </c>
      <c r="BL17" s="27">
        <f t="shared" si="3"/>
        <v>175000</v>
      </c>
      <c r="BM17" s="35"/>
      <c r="BN17" s="29">
        <f t="shared" si="4"/>
        <v>212730</v>
      </c>
      <c r="BO17" s="38" t="s">
        <v>74</v>
      </c>
    </row>
    <row r="18" spans="1:67" ht="22.5" customHeight="1" x14ac:dyDescent="0.35">
      <c r="A18" s="20">
        <v>13</v>
      </c>
      <c r="B18" s="21">
        <v>227</v>
      </c>
      <c r="C18" s="9">
        <v>15816</v>
      </c>
      <c r="D18" s="9" t="s">
        <v>77</v>
      </c>
      <c r="E18" s="9" t="s">
        <v>78</v>
      </c>
      <c r="F18" s="9" t="s">
        <v>72</v>
      </c>
      <c r="G18" s="9"/>
      <c r="H18" s="3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>
        <v>1</v>
      </c>
      <c r="AB18" s="23">
        <v>1</v>
      </c>
      <c r="AC18" s="23">
        <v>2</v>
      </c>
      <c r="AD18" s="23">
        <v>2</v>
      </c>
      <c r="AE18" s="23">
        <v>2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33">
        <f t="shared" si="0"/>
        <v>8</v>
      </c>
      <c r="BH18" s="26">
        <v>4192.1803</v>
      </c>
      <c r="BI18" s="34">
        <f t="shared" si="2"/>
        <v>33537</v>
      </c>
      <c r="BJ18" s="33">
        <f t="shared" si="1"/>
        <v>0</v>
      </c>
      <c r="BK18" s="26">
        <v>35000</v>
      </c>
      <c r="BL18" s="27">
        <f t="shared" si="3"/>
        <v>0</v>
      </c>
      <c r="BM18" s="35"/>
      <c r="BN18" s="29">
        <f t="shared" si="4"/>
        <v>33537</v>
      </c>
      <c r="BO18" s="38" t="s">
        <v>74</v>
      </c>
    </row>
    <row r="19" spans="1:67" ht="22.5" customHeight="1" x14ac:dyDescent="0.35">
      <c r="A19" s="20">
        <v>15</v>
      </c>
      <c r="B19" s="21">
        <v>227</v>
      </c>
      <c r="C19" s="9">
        <v>15880</v>
      </c>
      <c r="D19" s="9" t="s">
        <v>79</v>
      </c>
      <c r="E19" s="9" t="s">
        <v>80</v>
      </c>
      <c r="F19" s="9" t="s">
        <v>72</v>
      </c>
      <c r="G19" s="9" t="s">
        <v>73</v>
      </c>
      <c r="H19" s="3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 t="s">
        <v>32</v>
      </c>
      <c r="AA19" s="23">
        <v>3</v>
      </c>
      <c r="AB19" s="23">
        <v>3</v>
      </c>
      <c r="AC19" s="23">
        <v>1</v>
      </c>
      <c r="AD19" s="23">
        <v>3</v>
      </c>
      <c r="AE19" s="23">
        <v>4</v>
      </c>
      <c r="AF19" s="23" t="s">
        <v>32</v>
      </c>
      <c r="AG19" s="23" t="s">
        <v>32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33">
        <f t="shared" si="0"/>
        <v>14</v>
      </c>
      <c r="BH19" s="26">
        <v>4192.1803</v>
      </c>
      <c r="BI19" s="34">
        <f t="shared" si="2"/>
        <v>58691</v>
      </c>
      <c r="BJ19" s="33">
        <f t="shared" si="1"/>
        <v>3</v>
      </c>
      <c r="BK19" s="26">
        <v>35000</v>
      </c>
      <c r="BL19" s="27">
        <f t="shared" si="3"/>
        <v>105000</v>
      </c>
      <c r="BM19" s="35"/>
      <c r="BN19" s="29">
        <f t="shared" si="4"/>
        <v>163691</v>
      </c>
      <c r="BO19" s="38" t="s">
        <v>74</v>
      </c>
    </row>
    <row r="20" spans="1:67" ht="22.5" customHeight="1" x14ac:dyDescent="0.35">
      <c r="A20" s="20">
        <v>17</v>
      </c>
      <c r="B20" s="21">
        <v>227</v>
      </c>
      <c r="C20" s="9">
        <v>15858</v>
      </c>
      <c r="D20" s="9" t="s">
        <v>81</v>
      </c>
      <c r="E20" s="9" t="s">
        <v>82</v>
      </c>
      <c r="F20" s="9" t="s">
        <v>72</v>
      </c>
      <c r="G20" s="9" t="s">
        <v>83</v>
      </c>
      <c r="H20" s="3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 t="s">
        <v>32</v>
      </c>
      <c r="Z20" s="23" t="s">
        <v>32</v>
      </c>
      <c r="AA20" s="23">
        <v>3</v>
      </c>
      <c r="AB20" s="23">
        <v>3</v>
      </c>
      <c r="AC20" s="23">
        <v>3</v>
      </c>
      <c r="AD20" s="23">
        <v>3</v>
      </c>
      <c r="AE20" s="23">
        <v>3</v>
      </c>
      <c r="AF20" s="23" t="s">
        <v>32</v>
      </c>
      <c r="AG20" s="23" t="s">
        <v>32</v>
      </c>
      <c r="AH20" s="23">
        <v>1</v>
      </c>
      <c r="AI20" s="23">
        <v>1</v>
      </c>
      <c r="AJ20" s="23">
        <v>1</v>
      </c>
      <c r="AK20" s="23">
        <v>1</v>
      </c>
      <c r="AL20" s="23">
        <v>1</v>
      </c>
      <c r="AM20" s="23" t="s">
        <v>32</v>
      </c>
      <c r="AN20" s="23" t="s">
        <v>32</v>
      </c>
      <c r="AO20" s="23">
        <v>1</v>
      </c>
      <c r="AP20" s="23">
        <v>1</v>
      </c>
      <c r="AQ20" s="23">
        <v>1</v>
      </c>
      <c r="AR20" s="23">
        <v>1</v>
      </c>
      <c r="AS20" s="23">
        <v>1</v>
      </c>
      <c r="AT20" s="23" t="s">
        <v>32</v>
      </c>
      <c r="AU20" s="23" t="s">
        <v>32</v>
      </c>
      <c r="AV20" s="23">
        <v>1</v>
      </c>
      <c r="AW20" s="23">
        <v>1</v>
      </c>
      <c r="AX20" s="23">
        <v>1</v>
      </c>
      <c r="AY20" s="23">
        <v>1</v>
      </c>
      <c r="AZ20" s="23">
        <v>1</v>
      </c>
      <c r="BA20" s="23" t="s">
        <v>32</v>
      </c>
      <c r="BB20" s="23"/>
      <c r="BC20" s="23"/>
      <c r="BD20" s="23"/>
      <c r="BE20" s="23"/>
      <c r="BF20" s="23"/>
      <c r="BG20" s="33">
        <f t="shared" si="0"/>
        <v>30</v>
      </c>
      <c r="BH20" s="26">
        <v>4192.1803</v>
      </c>
      <c r="BI20" s="34">
        <f t="shared" si="2"/>
        <v>125765</v>
      </c>
      <c r="BJ20" s="33">
        <f t="shared" si="1"/>
        <v>9</v>
      </c>
      <c r="BK20" s="26">
        <v>35000</v>
      </c>
      <c r="BL20" s="27">
        <f t="shared" si="3"/>
        <v>315000</v>
      </c>
      <c r="BM20" s="35"/>
      <c r="BN20" s="29">
        <f t="shared" si="4"/>
        <v>440765</v>
      </c>
      <c r="BO20" s="38" t="s">
        <v>74</v>
      </c>
    </row>
    <row r="21" spans="1:67" ht="22.5" customHeight="1" x14ac:dyDescent="0.35">
      <c r="A21" s="20">
        <v>18</v>
      </c>
      <c r="B21" s="21">
        <v>227</v>
      </c>
      <c r="C21" s="9">
        <v>16061</v>
      </c>
      <c r="D21" s="9" t="s">
        <v>84</v>
      </c>
      <c r="E21" s="9" t="s">
        <v>85</v>
      </c>
      <c r="F21" s="9" t="s">
        <v>72</v>
      </c>
      <c r="G21" s="9" t="s">
        <v>83</v>
      </c>
      <c r="H21" s="37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 t="s">
        <v>32</v>
      </c>
      <c r="Z21" s="23" t="s">
        <v>32</v>
      </c>
      <c r="AA21" s="23">
        <v>3</v>
      </c>
      <c r="AB21" s="23">
        <v>3</v>
      </c>
      <c r="AC21" s="23">
        <v>3</v>
      </c>
      <c r="AD21" s="23">
        <v>3</v>
      </c>
      <c r="AE21" s="23">
        <v>3</v>
      </c>
      <c r="AF21" s="23" t="s">
        <v>32</v>
      </c>
      <c r="AG21" s="23" t="s">
        <v>32</v>
      </c>
      <c r="AH21" s="23">
        <v>1</v>
      </c>
      <c r="AI21" s="23">
        <v>1</v>
      </c>
      <c r="AJ21" s="23">
        <v>1</v>
      </c>
      <c r="AK21" s="23">
        <v>1</v>
      </c>
      <c r="AL21" s="23">
        <v>1</v>
      </c>
      <c r="AM21" s="23" t="s">
        <v>32</v>
      </c>
      <c r="AN21" s="23" t="s">
        <v>32</v>
      </c>
      <c r="AO21" s="23">
        <v>1</v>
      </c>
      <c r="AP21" s="23">
        <v>1</v>
      </c>
      <c r="AQ21" s="23">
        <v>1</v>
      </c>
      <c r="AR21" s="23">
        <v>1</v>
      </c>
      <c r="AS21" s="23">
        <v>1</v>
      </c>
      <c r="AT21" s="23" t="s">
        <v>32</v>
      </c>
      <c r="AU21" s="23" t="s">
        <v>32</v>
      </c>
      <c r="AV21" s="23">
        <v>1</v>
      </c>
      <c r="AW21" s="23">
        <v>1</v>
      </c>
      <c r="AX21" s="23">
        <v>1</v>
      </c>
      <c r="AY21" s="23">
        <v>1</v>
      </c>
      <c r="AZ21" s="23">
        <v>1</v>
      </c>
      <c r="BA21" s="23" t="s">
        <v>32</v>
      </c>
      <c r="BB21" s="23"/>
      <c r="BC21" s="23"/>
      <c r="BD21" s="23"/>
      <c r="BE21" s="23"/>
      <c r="BF21" s="23"/>
      <c r="BG21" s="33">
        <f t="shared" si="0"/>
        <v>30</v>
      </c>
      <c r="BH21" s="26">
        <v>4192.1803</v>
      </c>
      <c r="BI21" s="34">
        <f t="shared" si="2"/>
        <v>125765</v>
      </c>
      <c r="BJ21" s="33">
        <f t="shared" si="1"/>
        <v>9</v>
      </c>
      <c r="BK21" s="26">
        <v>35000</v>
      </c>
      <c r="BL21" s="27">
        <f t="shared" si="3"/>
        <v>315000</v>
      </c>
      <c r="BM21" s="35"/>
      <c r="BN21" s="29">
        <f t="shared" si="4"/>
        <v>440765</v>
      </c>
      <c r="BO21" s="38" t="s">
        <v>74</v>
      </c>
    </row>
    <row r="22" spans="1:67" ht="22.5" customHeight="1" x14ac:dyDescent="0.35">
      <c r="A22" s="20">
        <v>19</v>
      </c>
      <c r="B22" s="21">
        <v>227</v>
      </c>
      <c r="C22" s="9">
        <v>15664</v>
      </c>
      <c r="D22" s="9" t="s">
        <v>86</v>
      </c>
      <c r="E22" s="9" t="s">
        <v>87</v>
      </c>
      <c r="F22" s="9" t="s">
        <v>88</v>
      </c>
      <c r="G22" s="9"/>
      <c r="H22" s="37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32</v>
      </c>
      <c r="Z22" s="23" t="s">
        <v>32</v>
      </c>
      <c r="AA22" s="23">
        <v>2</v>
      </c>
      <c r="AB22" s="23">
        <v>2</v>
      </c>
      <c r="AC22" s="23">
        <v>2</v>
      </c>
      <c r="AD22" s="23">
        <v>2</v>
      </c>
      <c r="AE22" s="23">
        <v>2</v>
      </c>
      <c r="AF22" s="23"/>
      <c r="AG22" s="23" t="s">
        <v>32</v>
      </c>
      <c r="AH22" s="23"/>
      <c r="AI22" s="23"/>
      <c r="AJ22" s="23"/>
      <c r="AK22" s="23"/>
      <c r="AL22" s="23">
        <v>1</v>
      </c>
      <c r="AM22" s="23" t="s">
        <v>32</v>
      </c>
      <c r="AN22" s="23" t="s">
        <v>32</v>
      </c>
      <c r="AO22" s="23"/>
      <c r="AP22" s="23"/>
      <c r="AQ22" s="23"/>
      <c r="AR22" s="23"/>
      <c r="AS22" s="23"/>
      <c r="AT22" s="23"/>
      <c r="AU22" s="23"/>
      <c r="AV22" s="23">
        <v>1</v>
      </c>
      <c r="AW22" s="23">
        <v>1</v>
      </c>
      <c r="AX22" s="23">
        <v>1</v>
      </c>
      <c r="AY22" s="23"/>
      <c r="AZ22" s="23"/>
      <c r="BA22" s="23"/>
      <c r="BB22" s="23"/>
      <c r="BC22" s="23"/>
      <c r="BD22" s="23"/>
      <c r="BE22" s="23"/>
      <c r="BF22" s="23"/>
      <c r="BG22" s="33">
        <f t="shared" si="0"/>
        <v>14</v>
      </c>
      <c r="BH22" s="26">
        <v>4192.1803</v>
      </c>
      <c r="BI22" s="34">
        <f t="shared" si="2"/>
        <v>58691</v>
      </c>
      <c r="BJ22" s="33">
        <f t="shared" si="1"/>
        <v>5</v>
      </c>
      <c r="BK22" s="26">
        <v>35000</v>
      </c>
      <c r="BL22" s="27">
        <f t="shared" si="3"/>
        <v>175000</v>
      </c>
      <c r="BM22" s="35"/>
      <c r="BN22" s="29">
        <f t="shared" si="4"/>
        <v>233691</v>
      </c>
      <c r="BO22" s="38" t="s">
        <v>89</v>
      </c>
    </row>
    <row r="23" spans="1:67" ht="22.5" customHeight="1" x14ac:dyDescent="0.35">
      <c r="A23" s="20">
        <v>20</v>
      </c>
      <c r="B23" s="21">
        <v>227</v>
      </c>
      <c r="C23" s="9">
        <v>15867</v>
      </c>
      <c r="D23" s="9" t="s">
        <v>90</v>
      </c>
      <c r="E23" s="9" t="s">
        <v>91</v>
      </c>
      <c r="F23" s="9" t="s">
        <v>72</v>
      </c>
      <c r="G23" s="9" t="s">
        <v>73</v>
      </c>
      <c r="H23" s="37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>
        <v>2</v>
      </c>
      <c r="AB23" s="23">
        <v>2</v>
      </c>
      <c r="AC23" s="23">
        <v>2</v>
      </c>
      <c r="AD23" s="23">
        <v>2</v>
      </c>
      <c r="AE23" s="23">
        <v>3</v>
      </c>
      <c r="AF23" s="23" t="s">
        <v>32</v>
      </c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33">
        <f t="shared" si="0"/>
        <v>11</v>
      </c>
      <c r="BH23" s="26">
        <v>4192.1803</v>
      </c>
      <c r="BI23" s="34">
        <f t="shared" si="2"/>
        <v>46114</v>
      </c>
      <c r="BJ23" s="33">
        <f t="shared" si="1"/>
        <v>1</v>
      </c>
      <c r="BK23" s="26">
        <v>35000</v>
      </c>
      <c r="BL23" s="27">
        <f t="shared" si="3"/>
        <v>35000</v>
      </c>
      <c r="BM23" s="35"/>
      <c r="BN23" s="29">
        <f t="shared" si="4"/>
        <v>81114</v>
      </c>
      <c r="BO23" s="38" t="s">
        <v>92</v>
      </c>
    </row>
    <row r="24" spans="1:67" ht="22.5" customHeight="1" x14ac:dyDescent="0.35">
      <c r="A24" s="20">
        <v>21</v>
      </c>
      <c r="B24" s="21">
        <v>227</v>
      </c>
      <c r="C24" s="9">
        <v>16055</v>
      </c>
      <c r="D24" s="9" t="s">
        <v>93</v>
      </c>
      <c r="E24" s="9" t="s">
        <v>94</v>
      </c>
      <c r="F24" s="9" t="s">
        <v>95</v>
      </c>
      <c r="G24" s="9"/>
      <c r="H24" s="37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32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 t="s">
        <v>32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33">
        <f t="shared" si="0"/>
        <v>0</v>
      </c>
      <c r="BH24" s="26">
        <v>4192.1803</v>
      </c>
      <c r="BI24" s="34">
        <f t="shared" si="2"/>
        <v>0</v>
      </c>
      <c r="BJ24" s="33">
        <f t="shared" si="1"/>
        <v>2</v>
      </c>
      <c r="BK24" s="26">
        <v>35000</v>
      </c>
      <c r="BL24" s="27">
        <f t="shared" si="3"/>
        <v>70000</v>
      </c>
      <c r="BM24" s="35"/>
      <c r="BN24" s="29">
        <f t="shared" si="4"/>
        <v>70000</v>
      </c>
      <c r="BO24" s="38" t="s">
        <v>96</v>
      </c>
    </row>
    <row r="25" spans="1:67" ht="22.5" customHeight="1" x14ac:dyDescent="0.35">
      <c r="A25" s="20">
        <v>22</v>
      </c>
      <c r="B25" s="21">
        <v>227</v>
      </c>
      <c r="C25" s="9">
        <v>15651</v>
      </c>
      <c r="D25" s="9" t="s">
        <v>97</v>
      </c>
      <c r="E25" s="9" t="s">
        <v>98</v>
      </c>
      <c r="F25" s="9" t="s">
        <v>99</v>
      </c>
      <c r="G25" s="9"/>
      <c r="H25" s="37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33">
        <f t="shared" si="0"/>
        <v>0</v>
      </c>
      <c r="BH25" s="26">
        <v>4192.1803</v>
      </c>
      <c r="BI25" s="34">
        <f t="shared" si="2"/>
        <v>0</v>
      </c>
      <c r="BJ25" s="33">
        <f t="shared" si="1"/>
        <v>0</v>
      </c>
      <c r="BK25" s="26">
        <v>35000</v>
      </c>
      <c r="BL25" s="27">
        <f t="shared" si="3"/>
        <v>0</v>
      </c>
      <c r="BM25" s="35">
        <v>70000</v>
      </c>
      <c r="BN25" s="29">
        <f t="shared" si="4"/>
        <v>70000</v>
      </c>
      <c r="BO25" s="38" t="s">
        <v>100</v>
      </c>
    </row>
    <row r="26" spans="1:67" ht="22.5" customHeight="1" x14ac:dyDescent="0.35">
      <c r="A26" s="20">
        <v>23</v>
      </c>
      <c r="B26" s="21">
        <v>227</v>
      </c>
      <c r="C26" s="9">
        <v>15789</v>
      </c>
      <c r="D26" s="9" t="s">
        <v>101</v>
      </c>
      <c r="E26" s="9" t="s">
        <v>102</v>
      </c>
      <c r="F26" s="9" t="s">
        <v>103</v>
      </c>
      <c r="G26" s="9"/>
      <c r="H26" s="37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>
        <v>1</v>
      </c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33">
        <f t="shared" si="0"/>
        <v>1</v>
      </c>
      <c r="BH26" s="26">
        <v>4192.1803</v>
      </c>
      <c r="BI26" s="34">
        <f t="shared" si="2"/>
        <v>4192</v>
      </c>
      <c r="BJ26" s="33">
        <v>0</v>
      </c>
      <c r="BK26" s="26">
        <v>35000</v>
      </c>
      <c r="BL26" s="27">
        <f t="shared" si="3"/>
        <v>0</v>
      </c>
      <c r="BM26" s="35">
        <v>100000</v>
      </c>
      <c r="BN26" s="29">
        <f t="shared" si="4"/>
        <v>104192</v>
      </c>
      <c r="BO26" s="38" t="s">
        <v>104</v>
      </c>
    </row>
    <row r="27" spans="1:67" ht="22.5" customHeight="1" x14ac:dyDescent="0.35">
      <c r="A27" s="20">
        <v>24</v>
      </c>
      <c r="B27" s="21">
        <v>227</v>
      </c>
      <c r="C27" s="9">
        <v>15640</v>
      </c>
      <c r="D27" s="9" t="s">
        <v>105</v>
      </c>
      <c r="E27" s="9" t="s">
        <v>106</v>
      </c>
      <c r="F27" s="9" t="s">
        <v>88</v>
      </c>
      <c r="G27" s="9"/>
      <c r="H27" s="37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 t="s">
        <v>32</v>
      </c>
      <c r="AA27" s="23"/>
      <c r="AB27" s="23"/>
      <c r="AC27" s="23"/>
      <c r="AD27" s="23"/>
      <c r="AE27" s="23"/>
      <c r="AF27" s="23"/>
      <c r="AG27" s="23" t="s">
        <v>32</v>
      </c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33">
        <f t="shared" si="0"/>
        <v>0</v>
      </c>
      <c r="BH27" s="26">
        <v>4192.1803</v>
      </c>
      <c r="BI27" s="34">
        <f t="shared" si="2"/>
        <v>0</v>
      </c>
      <c r="BJ27" s="33">
        <f t="shared" ref="BJ27:BJ48" si="5">COUNTIF(I27:BF27,"DT")</f>
        <v>2</v>
      </c>
      <c r="BK27" s="26">
        <v>35000</v>
      </c>
      <c r="BL27" s="27">
        <f t="shared" si="3"/>
        <v>70000</v>
      </c>
      <c r="BM27" s="35"/>
      <c r="BN27" s="29">
        <f t="shared" si="4"/>
        <v>70000</v>
      </c>
      <c r="BO27" s="38" t="s">
        <v>107</v>
      </c>
    </row>
    <row r="28" spans="1:67" ht="22.5" customHeight="1" x14ac:dyDescent="0.35">
      <c r="A28" s="20">
        <v>25</v>
      </c>
      <c r="B28" s="21">
        <v>227</v>
      </c>
      <c r="C28" s="9">
        <v>15672</v>
      </c>
      <c r="D28" s="9" t="s">
        <v>108</v>
      </c>
      <c r="E28" s="9" t="s">
        <v>109</v>
      </c>
      <c r="F28" s="9" t="s">
        <v>110</v>
      </c>
      <c r="G28" s="9" t="s">
        <v>111</v>
      </c>
      <c r="H28" s="37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>
        <v>2</v>
      </c>
      <c r="AF28" s="23" t="s">
        <v>32</v>
      </c>
      <c r="AG28" s="23"/>
      <c r="AH28" s="23"/>
      <c r="AI28" s="23"/>
      <c r="AJ28" s="23">
        <v>1</v>
      </c>
      <c r="AK28" s="23"/>
      <c r="AL28" s="23"/>
      <c r="AM28" s="23" t="s">
        <v>32</v>
      </c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33">
        <f t="shared" si="0"/>
        <v>3</v>
      </c>
      <c r="BH28" s="26">
        <v>4192.1803</v>
      </c>
      <c r="BI28" s="34">
        <f t="shared" si="2"/>
        <v>12577</v>
      </c>
      <c r="BJ28" s="33">
        <f t="shared" si="5"/>
        <v>2</v>
      </c>
      <c r="BK28" s="26">
        <v>35000</v>
      </c>
      <c r="BL28" s="27">
        <f t="shared" si="3"/>
        <v>70000</v>
      </c>
      <c r="BM28" s="35"/>
      <c r="BN28" s="29">
        <f t="shared" si="4"/>
        <v>82577</v>
      </c>
      <c r="BO28" s="38" t="s">
        <v>112</v>
      </c>
    </row>
    <row r="29" spans="1:67" ht="22.5" customHeight="1" x14ac:dyDescent="0.35">
      <c r="A29" s="20">
        <v>26</v>
      </c>
      <c r="B29" s="21">
        <v>227</v>
      </c>
      <c r="C29" s="9">
        <v>15878</v>
      </c>
      <c r="D29" s="9" t="s">
        <v>113</v>
      </c>
      <c r="E29" s="9" t="s">
        <v>114</v>
      </c>
      <c r="F29" s="9" t="s">
        <v>68</v>
      </c>
      <c r="G29" s="9"/>
      <c r="H29" s="37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 t="s">
        <v>32</v>
      </c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33">
        <f t="shared" si="0"/>
        <v>0</v>
      </c>
      <c r="BH29" s="26">
        <v>4192.1803</v>
      </c>
      <c r="BI29" s="34">
        <f t="shared" si="2"/>
        <v>0</v>
      </c>
      <c r="BJ29" s="33">
        <f t="shared" si="5"/>
        <v>1</v>
      </c>
      <c r="BK29" s="26">
        <v>35000</v>
      </c>
      <c r="BL29" s="27">
        <f t="shared" si="3"/>
        <v>35000</v>
      </c>
      <c r="BM29" s="35"/>
      <c r="BN29" s="29">
        <f t="shared" si="4"/>
        <v>35000</v>
      </c>
      <c r="BO29" s="38" t="s">
        <v>115</v>
      </c>
    </row>
    <row r="30" spans="1:67" ht="22.5" customHeight="1" x14ac:dyDescent="0.35">
      <c r="A30" s="20">
        <v>27</v>
      </c>
      <c r="B30" s="21">
        <v>227</v>
      </c>
      <c r="C30" s="9">
        <v>15808</v>
      </c>
      <c r="D30" s="9" t="s">
        <v>116</v>
      </c>
      <c r="E30" s="9" t="s">
        <v>117</v>
      </c>
      <c r="F30" s="9" t="s">
        <v>118</v>
      </c>
      <c r="G30" s="9" t="s">
        <v>119</v>
      </c>
      <c r="H30" s="37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>
        <v>2</v>
      </c>
      <c r="AF30" s="23"/>
      <c r="AG30" s="23"/>
      <c r="AH30" s="23"/>
      <c r="AI30" s="23"/>
      <c r="AJ30" s="23">
        <v>1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33">
        <f t="shared" si="0"/>
        <v>3</v>
      </c>
      <c r="BH30" s="26">
        <v>4192.1803</v>
      </c>
      <c r="BI30" s="34">
        <f t="shared" si="2"/>
        <v>12577</v>
      </c>
      <c r="BJ30" s="33">
        <f t="shared" si="5"/>
        <v>0</v>
      </c>
      <c r="BK30" s="26">
        <v>35000</v>
      </c>
      <c r="BL30" s="27">
        <f t="shared" si="3"/>
        <v>0</v>
      </c>
      <c r="BM30" s="35"/>
      <c r="BN30" s="29">
        <f t="shared" si="4"/>
        <v>12577</v>
      </c>
      <c r="BO30" s="38" t="s">
        <v>120</v>
      </c>
    </row>
    <row r="31" spans="1:67" ht="22.5" customHeight="1" x14ac:dyDescent="0.35">
      <c r="A31" s="20">
        <v>28</v>
      </c>
      <c r="B31" s="21">
        <v>227</v>
      </c>
      <c r="C31" s="9">
        <v>15727</v>
      </c>
      <c r="D31" s="9" t="s">
        <v>121</v>
      </c>
      <c r="E31" s="9" t="s">
        <v>122</v>
      </c>
      <c r="F31" s="9" t="s">
        <v>103</v>
      </c>
      <c r="G31" s="9"/>
      <c r="H31" s="37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>
        <v>1</v>
      </c>
      <c r="AK31" s="23">
        <v>1</v>
      </c>
      <c r="AL31" s="23">
        <v>1</v>
      </c>
      <c r="AM31" s="23">
        <v>1</v>
      </c>
      <c r="AN31" s="23">
        <v>1</v>
      </c>
      <c r="AO31" s="23">
        <v>1</v>
      </c>
      <c r="AP31" s="23">
        <v>1</v>
      </c>
      <c r="AQ31" s="23">
        <v>1</v>
      </c>
      <c r="AR31" s="23"/>
      <c r="AS31" s="23"/>
      <c r="AT31" s="23"/>
      <c r="AU31" s="23"/>
      <c r="AV31" s="23"/>
      <c r="AW31" s="23"/>
      <c r="AX31" s="23">
        <v>1</v>
      </c>
      <c r="AY31" s="23"/>
      <c r="AZ31" s="23"/>
      <c r="BA31" s="23"/>
      <c r="BB31" s="23"/>
      <c r="BC31" s="23"/>
      <c r="BD31" s="23"/>
      <c r="BE31" s="23"/>
      <c r="BF31" s="23"/>
      <c r="BG31" s="33">
        <f t="shared" si="0"/>
        <v>9</v>
      </c>
      <c r="BH31" s="26">
        <v>4192.1803</v>
      </c>
      <c r="BI31" s="34">
        <f t="shared" si="2"/>
        <v>37730</v>
      </c>
      <c r="BJ31" s="33">
        <f t="shared" si="5"/>
        <v>0</v>
      </c>
      <c r="BK31" s="26">
        <v>35000</v>
      </c>
      <c r="BL31" s="27">
        <f t="shared" si="3"/>
        <v>0</v>
      </c>
      <c r="BM31" s="35"/>
      <c r="BN31" s="29">
        <f t="shared" si="4"/>
        <v>37730</v>
      </c>
      <c r="BO31" s="38" t="s">
        <v>123</v>
      </c>
    </row>
    <row r="32" spans="1:67" ht="22.5" customHeight="1" x14ac:dyDescent="0.35">
      <c r="A32" s="20">
        <v>29</v>
      </c>
      <c r="B32" s="21">
        <v>227</v>
      </c>
      <c r="C32" s="9">
        <v>15728</v>
      </c>
      <c r="D32" s="9" t="s">
        <v>124</v>
      </c>
      <c r="E32" s="9" t="s">
        <v>125</v>
      </c>
      <c r="F32" s="9" t="s">
        <v>88</v>
      </c>
      <c r="G32" s="9"/>
      <c r="H32" s="37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>
        <v>1</v>
      </c>
      <c r="AK32" s="23">
        <v>1</v>
      </c>
      <c r="AL32" s="23">
        <v>1</v>
      </c>
      <c r="AM32" s="23">
        <v>1</v>
      </c>
      <c r="AN32" s="23">
        <v>1</v>
      </c>
      <c r="AO32" s="23">
        <v>1</v>
      </c>
      <c r="AP32" s="23">
        <v>1</v>
      </c>
      <c r="AQ32" s="23">
        <v>1</v>
      </c>
      <c r="AR32" s="23"/>
      <c r="AS32" s="23"/>
      <c r="AT32" s="23"/>
      <c r="AU32" s="23"/>
      <c r="AV32" s="23"/>
      <c r="AW32" s="23"/>
      <c r="AX32" s="23">
        <v>1</v>
      </c>
      <c r="AY32" s="23"/>
      <c r="AZ32" s="23"/>
      <c r="BA32" s="23"/>
      <c r="BB32" s="23"/>
      <c r="BC32" s="23"/>
      <c r="BD32" s="23"/>
      <c r="BE32" s="23"/>
      <c r="BF32" s="23"/>
      <c r="BG32" s="33">
        <f t="shared" si="0"/>
        <v>9</v>
      </c>
      <c r="BH32" s="26">
        <v>4192.1803</v>
      </c>
      <c r="BI32" s="34">
        <f t="shared" si="2"/>
        <v>37730</v>
      </c>
      <c r="BJ32" s="33">
        <f t="shared" si="5"/>
        <v>0</v>
      </c>
      <c r="BK32" s="26">
        <v>35000</v>
      </c>
      <c r="BL32" s="27">
        <f t="shared" si="3"/>
        <v>0</v>
      </c>
      <c r="BM32" s="35"/>
      <c r="BN32" s="29">
        <f t="shared" si="4"/>
        <v>37730</v>
      </c>
      <c r="BO32" s="38" t="s">
        <v>123</v>
      </c>
    </row>
    <row r="33" spans="1:67" ht="22.5" customHeight="1" x14ac:dyDescent="0.35">
      <c r="A33" s="20">
        <v>30</v>
      </c>
      <c r="B33" s="21">
        <v>227</v>
      </c>
      <c r="C33" s="9">
        <v>16060</v>
      </c>
      <c r="D33" s="9" t="s">
        <v>126</v>
      </c>
      <c r="E33" s="9" t="s">
        <v>127</v>
      </c>
      <c r="F33" s="9" t="s">
        <v>88</v>
      </c>
      <c r="G33" s="9"/>
      <c r="H33" s="37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>
        <v>1</v>
      </c>
      <c r="AP33" s="23">
        <v>1</v>
      </c>
      <c r="AQ33" s="23">
        <v>1</v>
      </c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33">
        <f t="shared" si="0"/>
        <v>3</v>
      </c>
      <c r="BH33" s="26">
        <v>4192.1803</v>
      </c>
      <c r="BI33" s="34">
        <f t="shared" si="2"/>
        <v>12577</v>
      </c>
      <c r="BJ33" s="33">
        <f t="shared" si="5"/>
        <v>0</v>
      </c>
      <c r="BK33" s="26">
        <v>35000</v>
      </c>
      <c r="BL33" s="27">
        <f t="shared" si="3"/>
        <v>0</v>
      </c>
      <c r="BM33" s="35"/>
      <c r="BN33" s="29">
        <f t="shared" si="4"/>
        <v>12577</v>
      </c>
      <c r="BO33" s="38" t="s">
        <v>123</v>
      </c>
    </row>
    <row r="34" spans="1:67" ht="22.5" customHeight="1" x14ac:dyDescent="0.35">
      <c r="A34" s="20">
        <v>27</v>
      </c>
      <c r="B34" s="21">
        <v>227</v>
      </c>
      <c r="C34" s="9">
        <v>15730</v>
      </c>
      <c r="D34" s="9" t="s">
        <v>128</v>
      </c>
      <c r="E34" s="9" t="s">
        <v>129</v>
      </c>
      <c r="F34" s="9" t="s">
        <v>88</v>
      </c>
      <c r="G34" s="9"/>
      <c r="H34" s="37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>
        <v>1</v>
      </c>
      <c r="AK34" s="23">
        <v>1</v>
      </c>
      <c r="AL34" s="23">
        <v>1</v>
      </c>
      <c r="AM34" s="23">
        <v>1</v>
      </c>
      <c r="AN34" s="23">
        <v>1</v>
      </c>
      <c r="AO34" s="23">
        <v>1</v>
      </c>
      <c r="AP34" s="23">
        <v>1</v>
      </c>
      <c r="AQ34" s="23">
        <v>1</v>
      </c>
      <c r="AR34" s="23"/>
      <c r="AS34" s="23"/>
      <c r="AT34" s="23"/>
      <c r="AU34" s="23"/>
      <c r="AV34" s="23"/>
      <c r="AW34" s="23"/>
      <c r="AX34" s="23">
        <v>1</v>
      </c>
      <c r="AY34" s="23"/>
      <c r="AZ34" s="23"/>
      <c r="BA34" s="23"/>
      <c r="BB34" s="23"/>
      <c r="BC34" s="23"/>
      <c r="BD34" s="23"/>
      <c r="BE34" s="23"/>
      <c r="BF34" s="23"/>
      <c r="BG34" s="33">
        <f t="shared" si="0"/>
        <v>9</v>
      </c>
      <c r="BH34" s="26">
        <v>4192.1803</v>
      </c>
      <c r="BI34" s="34">
        <f t="shared" si="2"/>
        <v>37730</v>
      </c>
      <c r="BJ34" s="33">
        <f t="shared" si="5"/>
        <v>0</v>
      </c>
      <c r="BK34" s="26">
        <v>35000</v>
      </c>
      <c r="BL34" s="27">
        <f t="shared" si="3"/>
        <v>0</v>
      </c>
      <c r="BM34" s="35"/>
      <c r="BN34" s="29">
        <f t="shared" si="4"/>
        <v>37730</v>
      </c>
      <c r="BO34" s="38" t="s">
        <v>123</v>
      </c>
    </row>
    <row r="35" spans="1:67" ht="22.5" customHeight="1" x14ac:dyDescent="0.35">
      <c r="A35" s="20">
        <v>28</v>
      </c>
      <c r="B35" s="21">
        <v>227</v>
      </c>
      <c r="C35" s="9">
        <v>15639</v>
      </c>
      <c r="D35" s="9" t="s">
        <v>130</v>
      </c>
      <c r="E35" s="9" t="s">
        <v>131</v>
      </c>
      <c r="F35" s="9" t="s">
        <v>132</v>
      </c>
      <c r="G35" s="9"/>
      <c r="H35" s="37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 t="s">
        <v>32</v>
      </c>
      <c r="BB35" s="23"/>
      <c r="BC35" s="23"/>
      <c r="BD35" s="23"/>
      <c r="BE35" s="23"/>
      <c r="BF35" s="23"/>
      <c r="BG35" s="33">
        <f t="shared" si="0"/>
        <v>0</v>
      </c>
      <c r="BH35" s="26">
        <v>4192.1803</v>
      </c>
      <c r="BI35" s="34">
        <f t="shared" si="2"/>
        <v>0</v>
      </c>
      <c r="BJ35" s="33">
        <f t="shared" si="5"/>
        <v>1</v>
      </c>
      <c r="BK35" s="26">
        <v>35000</v>
      </c>
      <c r="BL35" s="27">
        <f t="shared" si="3"/>
        <v>35000</v>
      </c>
      <c r="BM35" s="35"/>
      <c r="BN35" s="29">
        <f t="shared" si="4"/>
        <v>35000</v>
      </c>
      <c r="BO35" s="38" t="s">
        <v>133</v>
      </c>
    </row>
    <row r="36" spans="1:67" ht="22.5" customHeight="1" x14ac:dyDescent="0.35">
      <c r="A36" s="20">
        <v>29</v>
      </c>
      <c r="B36" s="21">
        <v>227</v>
      </c>
      <c r="C36" s="9">
        <v>15703</v>
      </c>
      <c r="D36" s="9" t="s">
        <v>134</v>
      </c>
      <c r="E36" s="9" t="s">
        <v>135</v>
      </c>
      <c r="F36" s="9" t="s">
        <v>136</v>
      </c>
      <c r="G36" s="9"/>
      <c r="H36" s="37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 t="s">
        <v>32</v>
      </c>
      <c r="BB36" s="23"/>
      <c r="BC36" s="23"/>
      <c r="BD36" s="23"/>
      <c r="BE36" s="23"/>
      <c r="BF36" s="23"/>
      <c r="BG36" s="33">
        <f t="shared" si="0"/>
        <v>0</v>
      </c>
      <c r="BH36" s="26">
        <v>4192.1803</v>
      </c>
      <c r="BI36" s="34">
        <f t="shared" si="2"/>
        <v>0</v>
      </c>
      <c r="BJ36" s="33">
        <f t="shared" si="5"/>
        <v>1</v>
      </c>
      <c r="BK36" s="26">
        <v>35000</v>
      </c>
      <c r="BL36" s="27">
        <f t="shared" si="3"/>
        <v>35000</v>
      </c>
      <c r="BM36" s="35"/>
      <c r="BN36" s="29">
        <f t="shared" si="4"/>
        <v>35000</v>
      </c>
      <c r="BO36" s="38" t="s">
        <v>133</v>
      </c>
    </row>
    <row r="37" spans="1:67" ht="22.5" customHeight="1" x14ac:dyDescent="0.35">
      <c r="A37" s="20">
        <v>30</v>
      </c>
      <c r="B37" s="21">
        <v>227</v>
      </c>
      <c r="C37" s="9">
        <v>15682</v>
      </c>
      <c r="D37" s="9" t="s">
        <v>137</v>
      </c>
      <c r="E37" s="9" t="s">
        <v>138</v>
      </c>
      <c r="F37" s="9" t="s">
        <v>88</v>
      </c>
      <c r="G37" s="9"/>
      <c r="H37" s="37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 t="s">
        <v>32</v>
      </c>
      <c r="AU37" s="23" t="s">
        <v>32</v>
      </c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33">
        <f t="shared" si="0"/>
        <v>0</v>
      </c>
      <c r="BH37" s="26">
        <v>4192.1803</v>
      </c>
      <c r="BI37" s="34">
        <f t="shared" si="2"/>
        <v>0</v>
      </c>
      <c r="BJ37" s="33">
        <f t="shared" si="5"/>
        <v>2</v>
      </c>
      <c r="BK37" s="26">
        <v>35000</v>
      </c>
      <c r="BL37" s="27">
        <f t="shared" si="3"/>
        <v>70000</v>
      </c>
      <c r="BM37" s="35"/>
      <c r="BN37" s="29">
        <f t="shared" si="4"/>
        <v>70000</v>
      </c>
      <c r="BO37" s="38" t="s">
        <v>65</v>
      </c>
    </row>
    <row r="38" spans="1:67" ht="22.5" customHeight="1" x14ac:dyDescent="0.35">
      <c r="A38" s="20">
        <v>33</v>
      </c>
      <c r="B38" s="21">
        <v>227</v>
      </c>
      <c r="C38" s="9">
        <v>15997</v>
      </c>
      <c r="D38" s="9" t="s">
        <v>139</v>
      </c>
      <c r="E38" s="9" t="s">
        <v>140</v>
      </c>
      <c r="F38" s="9" t="s">
        <v>118</v>
      </c>
      <c r="G38" s="9" t="s">
        <v>141</v>
      </c>
      <c r="H38" s="37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>
        <v>1</v>
      </c>
      <c r="AD38" s="23">
        <v>2</v>
      </c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33">
        <f t="shared" si="0"/>
        <v>3</v>
      </c>
      <c r="BH38" s="26">
        <v>4192.1803</v>
      </c>
      <c r="BI38" s="34">
        <f t="shared" si="2"/>
        <v>12577</v>
      </c>
      <c r="BJ38" s="33">
        <f t="shared" si="5"/>
        <v>0</v>
      </c>
      <c r="BK38" s="26">
        <v>35000</v>
      </c>
      <c r="BL38" s="27">
        <f t="shared" si="3"/>
        <v>0</v>
      </c>
      <c r="BM38" s="35"/>
      <c r="BN38" s="29">
        <f t="shared" si="4"/>
        <v>12577</v>
      </c>
      <c r="BO38" s="38" t="s">
        <v>142</v>
      </c>
    </row>
    <row r="39" spans="1:67" ht="22.5" customHeight="1" x14ac:dyDescent="0.35">
      <c r="A39" s="20">
        <v>34</v>
      </c>
      <c r="B39" s="21">
        <v>227</v>
      </c>
      <c r="C39" s="9">
        <v>15638</v>
      </c>
      <c r="D39" s="9" t="s">
        <v>143</v>
      </c>
      <c r="E39" s="9" t="s">
        <v>144</v>
      </c>
      <c r="F39" s="9" t="s">
        <v>88</v>
      </c>
      <c r="G39" s="9" t="s">
        <v>145</v>
      </c>
      <c r="H39" s="3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>
        <v>1</v>
      </c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33">
        <f t="shared" si="0"/>
        <v>1</v>
      </c>
      <c r="BH39" s="26">
        <v>4192.1803</v>
      </c>
      <c r="BI39" s="34">
        <f t="shared" si="2"/>
        <v>4192</v>
      </c>
      <c r="BJ39" s="33">
        <f t="shared" si="5"/>
        <v>0</v>
      </c>
      <c r="BK39" s="26">
        <v>35000</v>
      </c>
      <c r="BL39" s="27">
        <f t="shared" si="3"/>
        <v>0</v>
      </c>
      <c r="BM39" s="35"/>
      <c r="BN39" s="29">
        <f t="shared" si="4"/>
        <v>4192</v>
      </c>
      <c r="BO39" s="38" t="s">
        <v>146</v>
      </c>
    </row>
    <row r="40" spans="1:67" ht="22.5" customHeight="1" x14ac:dyDescent="0.35">
      <c r="A40" s="20">
        <v>35</v>
      </c>
      <c r="B40" s="21">
        <v>227</v>
      </c>
      <c r="C40" s="9">
        <v>15669</v>
      </c>
      <c r="D40" s="9" t="s">
        <v>147</v>
      </c>
      <c r="E40" s="9" t="s">
        <v>148</v>
      </c>
      <c r="F40" s="9" t="s">
        <v>118</v>
      </c>
      <c r="G40" s="9" t="s">
        <v>149</v>
      </c>
      <c r="H40" s="37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>
        <v>1</v>
      </c>
      <c r="AR40" s="23"/>
      <c r="AS40" s="23"/>
      <c r="AT40" s="23"/>
      <c r="AU40" s="23"/>
      <c r="AV40" s="23"/>
      <c r="AW40" s="23"/>
      <c r="AX40" s="23">
        <v>2</v>
      </c>
      <c r="AY40" s="23"/>
      <c r="AZ40" s="23"/>
      <c r="BA40" s="23"/>
      <c r="BB40" s="23"/>
      <c r="BC40" s="23"/>
      <c r="BD40" s="23"/>
      <c r="BE40" s="23"/>
      <c r="BF40" s="23"/>
      <c r="BG40" s="33">
        <f t="shared" si="0"/>
        <v>3</v>
      </c>
      <c r="BH40" s="26">
        <v>4192.1803</v>
      </c>
      <c r="BI40" s="34">
        <f t="shared" si="2"/>
        <v>12577</v>
      </c>
      <c r="BJ40" s="33">
        <f t="shared" si="5"/>
        <v>0</v>
      </c>
      <c r="BK40" s="26">
        <v>35000</v>
      </c>
      <c r="BL40" s="27">
        <f t="shared" si="3"/>
        <v>0</v>
      </c>
      <c r="BM40" s="35"/>
      <c r="BN40" s="29">
        <f t="shared" si="4"/>
        <v>12577</v>
      </c>
      <c r="BO40" s="38"/>
    </row>
    <row r="41" spans="1:67" ht="22.5" customHeight="1" x14ac:dyDescent="0.35">
      <c r="A41" s="20">
        <v>36</v>
      </c>
      <c r="B41" s="21">
        <v>227</v>
      </c>
      <c r="C41" s="9"/>
      <c r="D41" s="9"/>
      <c r="E41" s="9"/>
      <c r="F41" s="9"/>
      <c r="G41" s="9"/>
      <c r="H41" s="37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33">
        <f t="shared" si="0"/>
        <v>0</v>
      </c>
      <c r="BH41" s="26">
        <v>4192.1803</v>
      </c>
      <c r="BI41" s="34">
        <f t="shared" si="2"/>
        <v>0</v>
      </c>
      <c r="BJ41" s="33">
        <f t="shared" si="5"/>
        <v>0</v>
      </c>
      <c r="BK41" s="26">
        <v>35000</v>
      </c>
      <c r="BL41" s="27">
        <f t="shared" si="3"/>
        <v>0</v>
      </c>
      <c r="BM41" s="35"/>
      <c r="BN41" s="29">
        <f t="shared" si="4"/>
        <v>0</v>
      </c>
      <c r="BO41" s="38"/>
    </row>
    <row r="42" spans="1:67" ht="22.5" customHeight="1" x14ac:dyDescent="0.35">
      <c r="A42" s="20">
        <v>37</v>
      </c>
      <c r="B42" s="21">
        <v>227</v>
      </c>
      <c r="C42" s="9"/>
      <c r="D42" s="9"/>
      <c r="E42" s="9"/>
      <c r="F42" s="9"/>
      <c r="G42" s="9"/>
      <c r="H42" s="37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33">
        <f t="shared" si="0"/>
        <v>0</v>
      </c>
      <c r="BH42" s="26">
        <v>4192.1803</v>
      </c>
      <c r="BI42" s="34">
        <f t="shared" si="2"/>
        <v>0</v>
      </c>
      <c r="BJ42" s="33">
        <f t="shared" si="5"/>
        <v>0</v>
      </c>
      <c r="BK42" s="26">
        <v>35000</v>
      </c>
      <c r="BL42" s="27">
        <f t="shared" si="3"/>
        <v>0</v>
      </c>
      <c r="BM42" s="35"/>
      <c r="BN42" s="29">
        <f t="shared" si="4"/>
        <v>0</v>
      </c>
      <c r="BO42" s="38"/>
    </row>
    <row r="43" spans="1:67" ht="22.5" customHeight="1" x14ac:dyDescent="0.35">
      <c r="A43" s="20">
        <v>38</v>
      </c>
      <c r="B43" s="21">
        <v>227</v>
      </c>
      <c r="C43" s="9"/>
      <c r="D43" s="9"/>
      <c r="E43" s="9"/>
      <c r="F43" s="9"/>
      <c r="G43" s="9"/>
      <c r="H43" s="37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33">
        <f t="shared" si="0"/>
        <v>0</v>
      </c>
      <c r="BH43" s="26">
        <v>4192.1803</v>
      </c>
      <c r="BI43" s="34">
        <f t="shared" si="2"/>
        <v>0</v>
      </c>
      <c r="BJ43" s="33">
        <f t="shared" si="5"/>
        <v>0</v>
      </c>
      <c r="BK43" s="26">
        <v>35000</v>
      </c>
      <c r="BL43" s="27">
        <f t="shared" si="3"/>
        <v>0</v>
      </c>
      <c r="BM43" s="35"/>
      <c r="BN43" s="29">
        <f t="shared" si="4"/>
        <v>0</v>
      </c>
      <c r="BO43" s="38"/>
    </row>
    <row r="44" spans="1:67" ht="22.5" customHeight="1" x14ac:dyDescent="0.35">
      <c r="A44" s="20">
        <v>34</v>
      </c>
      <c r="B44" s="21">
        <v>227</v>
      </c>
      <c r="C44" s="9"/>
      <c r="D44" s="9"/>
      <c r="E44" s="9"/>
      <c r="F44" s="9"/>
      <c r="G44" s="9"/>
      <c r="H44" s="37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33">
        <f t="shared" si="0"/>
        <v>0</v>
      </c>
      <c r="BH44" s="26">
        <v>4192.1803</v>
      </c>
      <c r="BI44" s="34">
        <f t="shared" si="2"/>
        <v>0</v>
      </c>
      <c r="BJ44" s="33">
        <f t="shared" si="5"/>
        <v>0</v>
      </c>
      <c r="BK44" s="26">
        <v>35000</v>
      </c>
      <c r="BL44" s="27">
        <f t="shared" si="3"/>
        <v>0</v>
      </c>
      <c r="BM44" s="35"/>
      <c r="BN44" s="29">
        <f t="shared" si="4"/>
        <v>0</v>
      </c>
      <c r="BO44" s="38"/>
    </row>
    <row r="45" spans="1:67" ht="22.5" customHeight="1" x14ac:dyDescent="0.35">
      <c r="A45" s="20">
        <v>35</v>
      </c>
      <c r="B45" s="21">
        <v>227</v>
      </c>
      <c r="C45" s="9"/>
      <c r="D45" s="9"/>
      <c r="E45" s="9"/>
      <c r="F45" s="9"/>
      <c r="G45" s="9"/>
      <c r="H45" s="37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33">
        <f t="shared" si="0"/>
        <v>0</v>
      </c>
      <c r="BH45" s="26">
        <v>4192.1803</v>
      </c>
      <c r="BI45" s="34">
        <f t="shared" si="2"/>
        <v>0</v>
      </c>
      <c r="BJ45" s="33">
        <f t="shared" si="5"/>
        <v>0</v>
      </c>
      <c r="BK45" s="26">
        <v>35000</v>
      </c>
      <c r="BL45" s="27">
        <f t="shared" si="3"/>
        <v>0</v>
      </c>
      <c r="BM45" s="35"/>
      <c r="BN45" s="29">
        <f t="shared" si="4"/>
        <v>0</v>
      </c>
      <c r="BO45" s="38"/>
    </row>
    <row r="46" spans="1:67" ht="22.5" customHeight="1" x14ac:dyDescent="0.35">
      <c r="A46" s="20">
        <v>36</v>
      </c>
      <c r="B46" s="21">
        <v>227</v>
      </c>
      <c r="C46" s="9"/>
      <c r="D46" s="9"/>
      <c r="E46" s="9"/>
      <c r="F46" s="9"/>
      <c r="G46" s="9"/>
      <c r="H46" s="37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33">
        <f t="shared" si="0"/>
        <v>0</v>
      </c>
      <c r="BH46" s="26">
        <v>4192.1803</v>
      </c>
      <c r="BI46" s="34">
        <f t="shared" si="2"/>
        <v>0</v>
      </c>
      <c r="BJ46" s="33">
        <f t="shared" si="5"/>
        <v>0</v>
      </c>
      <c r="BK46" s="26">
        <v>35000</v>
      </c>
      <c r="BL46" s="27">
        <f t="shared" si="3"/>
        <v>0</v>
      </c>
      <c r="BM46" s="35"/>
      <c r="BN46" s="29">
        <f t="shared" si="4"/>
        <v>0</v>
      </c>
      <c r="BO46" s="38"/>
    </row>
    <row r="47" spans="1:67" ht="22.5" customHeight="1" x14ac:dyDescent="0.35">
      <c r="A47" s="20">
        <v>37</v>
      </c>
      <c r="B47" s="21">
        <v>227</v>
      </c>
      <c r="C47" s="9"/>
      <c r="D47" s="9"/>
      <c r="E47" s="9"/>
      <c r="F47" s="9"/>
      <c r="G47" s="9"/>
      <c r="H47" s="37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33">
        <f t="shared" si="0"/>
        <v>0</v>
      </c>
      <c r="BH47" s="26">
        <v>4192.1803</v>
      </c>
      <c r="BI47" s="34">
        <f t="shared" si="2"/>
        <v>0</v>
      </c>
      <c r="BJ47" s="33">
        <f t="shared" si="5"/>
        <v>0</v>
      </c>
      <c r="BK47" s="26">
        <v>35000</v>
      </c>
      <c r="BL47" s="27">
        <f t="shared" si="3"/>
        <v>0</v>
      </c>
      <c r="BM47" s="35"/>
      <c r="BN47" s="29">
        <f t="shared" si="4"/>
        <v>0</v>
      </c>
      <c r="BO47" s="38"/>
    </row>
    <row r="48" spans="1:67" ht="22.5" customHeight="1" x14ac:dyDescent="0.35">
      <c r="A48" s="20">
        <v>38</v>
      </c>
      <c r="B48" s="21">
        <v>227</v>
      </c>
      <c r="C48" s="9"/>
      <c r="D48" s="9"/>
      <c r="E48" s="9"/>
      <c r="F48" s="9"/>
      <c r="G48" s="9"/>
      <c r="H48" s="37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33">
        <f t="shared" si="0"/>
        <v>0</v>
      </c>
      <c r="BH48" s="26">
        <v>4192.1803</v>
      </c>
      <c r="BI48" s="34">
        <f t="shared" si="2"/>
        <v>0</v>
      </c>
      <c r="BJ48" s="33">
        <f t="shared" si="5"/>
        <v>0</v>
      </c>
      <c r="BK48" s="26">
        <v>35000</v>
      </c>
      <c r="BL48" s="27">
        <f t="shared" si="3"/>
        <v>0</v>
      </c>
      <c r="BM48" s="35"/>
      <c r="BN48" s="29">
        <f t="shared" si="4"/>
        <v>0</v>
      </c>
      <c r="BO48" s="38"/>
    </row>
    <row r="49" spans="1:67" ht="22.5" customHeight="1" x14ac:dyDescent="0.35">
      <c r="A49" s="20">
        <v>39</v>
      </c>
      <c r="B49" s="21">
        <v>227</v>
      </c>
      <c r="C49" s="9"/>
      <c r="D49" s="9"/>
      <c r="E49" s="9"/>
      <c r="F49" s="9"/>
      <c r="G49" s="9"/>
      <c r="H49" s="37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33">
        <f t="shared" si="0"/>
        <v>0</v>
      </c>
      <c r="BH49" s="26">
        <v>4192.1803</v>
      </c>
      <c r="BI49" s="34">
        <f t="shared" si="2"/>
        <v>0</v>
      </c>
      <c r="BJ49" s="33">
        <f t="shared" si="1"/>
        <v>0</v>
      </c>
      <c r="BK49" s="26">
        <v>35000</v>
      </c>
      <c r="BL49" s="27">
        <f t="shared" si="3"/>
        <v>0</v>
      </c>
      <c r="BM49" s="35"/>
      <c r="BN49" s="29">
        <f t="shared" si="4"/>
        <v>0</v>
      </c>
      <c r="BO49" s="38"/>
    </row>
    <row r="50" spans="1:67" ht="7.5" customHeight="1" x14ac:dyDescent="0.35">
      <c r="A50" s="9"/>
      <c r="B50" s="9"/>
      <c r="C50" s="9"/>
      <c r="D50" s="9"/>
      <c r="E50" s="9"/>
      <c r="F50" s="9"/>
      <c r="G50" s="9"/>
      <c r="H50" s="3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33"/>
      <c r="BH50" s="9"/>
      <c r="BI50" s="39"/>
      <c r="BJ50" s="33"/>
      <c r="BK50" s="9"/>
      <c r="BL50" s="39"/>
      <c r="BM50" s="35"/>
      <c r="BN50" s="40"/>
      <c r="BO50" s="38"/>
    </row>
  </sheetData>
  <mergeCells count="2">
    <mergeCell ref="BG3:BI3"/>
    <mergeCell ref="BJ3:BL3"/>
  </mergeCells>
  <conditionalFormatting sqref="A5:A49 I5:BF49">
    <cfRule type="cellIs" dxfId="11" priority="2" operator="equal">
      <formula>"DT"</formula>
    </cfRule>
    <cfRule type="cellIs" dxfId="10" priority="3" operator="equal">
      <formula>"VM"</formula>
    </cfRule>
    <cfRule type="cellIs" dxfId="9" priority="4" operator="equal">
      <formula>"V"</formula>
    </cfRule>
    <cfRule type="cellIs" dxfId="8" priority="5" operator="equal">
      <formula>"LM"</formula>
    </cfRule>
    <cfRule type="cellIs" dxfId="7" priority="6" operator="equal">
      <formula>"L"</formula>
    </cfRule>
    <cfRule type="cellIs" dxfId="6" priority="7" operator="equal">
      <formula>"PM"</formula>
    </cfRule>
    <cfRule type="cellIs" dxfId="5" priority="8" operator="equal">
      <formula>"P"</formula>
    </cfRule>
    <cfRule type="cellIs" dxfId="4" priority="9" operator="equal">
      <formula>"FM"</formula>
    </cfRule>
    <cfRule type="cellIs" dxfId="3" priority="10" operator="equal">
      <formula>"F"</formula>
    </cfRule>
    <cfRule type="cellIs" dxfId="2" priority="11" operator="equal">
      <formula>"DN"</formula>
    </cfRule>
    <cfRule type="cellIs" dxfId="1" priority="12" operator="equal">
      <formula>"D"</formula>
    </cfRule>
  </conditionalFormatting>
  <conditionalFormatting sqref="I3:BF3">
    <cfRule type="cellIs" dxfId="0" priority="1" operator="equal">
      <formula>"D"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Fuentes Salazar</dc:creator>
  <cp:lastModifiedBy>Maria Alejandra Fuentes Salazar</cp:lastModifiedBy>
  <dcterms:created xsi:type="dcterms:W3CDTF">2026-03-27T12:58:41Z</dcterms:created>
  <dcterms:modified xsi:type="dcterms:W3CDTF">2026-03-27T12:58:56Z</dcterms:modified>
</cp:coreProperties>
</file>